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Cool Shit\"/>
    </mc:Choice>
  </mc:AlternateContent>
  <xr:revisionPtr revIDLastSave="0" documentId="13_ncr:1_{2E0F7F6A-4672-4433-B4D9-D11C87B57287}" xr6:coauthVersionLast="47" xr6:coauthVersionMax="47" xr10:uidLastSave="{00000000-0000-0000-0000-000000000000}"/>
  <bookViews>
    <workbookView xWindow="-28215" yWindow="1665" windowWidth="27915" windowHeight="11790" xr2:uid="{75CB2E11-7164-49D1-97EF-60661CE9B9F6}"/>
  </bookViews>
  <sheets>
    <sheet name="TRV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1" i="1" l="1" a="1"/>
  <c r="F101" i="1" a="1"/>
  <c r="I11" i="1" a="1"/>
  <c r="I12" i="1" a="1"/>
  <c r="I13" i="1" a="1"/>
  <c r="I14" i="1" a="1"/>
  <c r="I15" i="1" a="1"/>
  <c r="I16" i="1" a="1"/>
  <c r="I17" i="1" a="1"/>
  <c r="I18" i="1" a="1"/>
  <c r="I19" i="1" a="1"/>
  <c r="I20" i="1" a="1"/>
  <c r="I21" i="1" a="1"/>
  <c r="I22" i="1" a="1"/>
  <c r="I23" i="1" a="1"/>
  <c r="I24" i="1" a="1"/>
  <c r="I25" i="1" a="1"/>
  <c r="I26" i="1" a="1"/>
  <c r="I27" i="1" a="1"/>
  <c r="I28" i="1" a="1"/>
  <c r="I29" i="1" a="1"/>
  <c r="I30" i="1" a="1"/>
  <c r="I31" i="1" a="1"/>
  <c r="I32" i="1" a="1"/>
  <c r="I33" i="1" a="1"/>
  <c r="I34" i="1" a="1"/>
  <c r="I35" i="1" a="1"/>
  <c r="I36" i="1" a="1"/>
  <c r="I37" i="1" a="1"/>
  <c r="I38" i="1" a="1"/>
  <c r="I39" i="1" a="1"/>
  <c r="I40" i="1" a="1"/>
  <c r="I41" i="1" a="1"/>
  <c r="I42" i="1" a="1"/>
  <c r="I43" i="1" a="1"/>
  <c r="I44" i="1" a="1"/>
  <c r="I45" i="1" a="1"/>
  <c r="I46" i="1" a="1"/>
  <c r="I47" i="1" a="1"/>
  <c r="I48" i="1" a="1"/>
  <c r="I49" i="1" a="1"/>
  <c r="I50" i="1" a="1"/>
  <c r="I51" i="1" a="1"/>
  <c r="I52" i="1" a="1"/>
  <c r="I53" i="1" a="1"/>
  <c r="I54" i="1" a="1"/>
  <c r="I55" i="1" a="1"/>
  <c r="I56" i="1" a="1"/>
  <c r="I57" i="1" a="1"/>
  <c r="I58" i="1" a="1"/>
  <c r="I59" i="1" a="1"/>
  <c r="I60" i="1" a="1"/>
  <c r="I61" i="1" a="1"/>
  <c r="I62" i="1" a="1"/>
  <c r="I63" i="1" a="1"/>
  <c r="I64" i="1" a="1"/>
  <c r="I65" i="1" a="1"/>
  <c r="I66" i="1" a="1"/>
  <c r="I67" i="1" a="1"/>
  <c r="I68" i="1" a="1"/>
  <c r="I69" i="1" a="1"/>
  <c r="I70" i="1" a="1"/>
  <c r="I71" i="1" a="1"/>
  <c r="I72" i="1" a="1"/>
  <c r="I73" i="1" a="1"/>
  <c r="I74" i="1" a="1"/>
  <c r="I75" i="1" a="1"/>
  <c r="I76" i="1" a="1"/>
  <c r="I77" i="1" a="1"/>
  <c r="I78" i="1" a="1"/>
  <c r="I79" i="1" a="1"/>
  <c r="I80" i="1" a="1"/>
  <c r="I81" i="1" a="1"/>
  <c r="I82" i="1" a="1"/>
  <c r="I83" i="1" a="1"/>
  <c r="I84" i="1" a="1"/>
  <c r="I85" i="1" a="1"/>
  <c r="I86" i="1" a="1"/>
  <c r="I87" i="1" a="1"/>
  <c r="I88" i="1" a="1"/>
  <c r="I89" i="1" a="1"/>
  <c r="I90" i="1" a="1"/>
  <c r="I91" i="1" a="1"/>
  <c r="I92" i="1" a="1"/>
  <c r="I93" i="1" a="1"/>
  <c r="I94" i="1" a="1"/>
  <c r="I95" i="1" a="1"/>
  <c r="I96" i="1" a="1"/>
  <c r="I97" i="1" a="1"/>
  <c r="I98" i="1" a="1"/>
  <c r="I99" i="1" a="1"/>
  <c r="I100" i="1" a="1"/>
  <c r="G17" i="1" a="1"/>
  <c r="H17" i="1" a="1"/>
  <c r="G18" i="1" a="1"/>
  <c r="H18" i="1" a="1"/>
  <c r="G19" i="1" a="1"/>
  <c r="H19" i="1" a="1"/>
  <c r="G20" i="1" a="1"/>
  <c r="H20" i="1" a="1"/>
  <c r="G21" i="1" a="1"/>
  <c r="H21" i="1" a="1"/>
  <c r="G22" i="1" a="1"/>
  <c r="H22" i="1" a="1"/>
  <c r="G23" i="1" a="1"/>
  <c r="H23" i="1" a="1"/>
  <c r="G24" i="1" a="1"/>
  <c r="H24" i="1" a="1"/>
  <c r="G25" i="1" a="1"/>
  <c r="H25" i="1" a="1"/>
  <c r="G26" i="1" a="1"/>
  <c r="H26" i="1" a="1"/>
  <c r="G27" i="1" a="1"/>
  <c r="H27" i="1" a="1"/>
  <c r="G28" i="1" a="1"/>
  <c r="H28" i="1" a="1"/>
  <c r="G29" i="1" a="1"/>
  <c r="H29" i="1" a="1"/>
  <c r="G30" i="1" a="1"/>
  <c r="H30" i="1" a="1"/>
  <c r="G31" i="1" a="1"/>
  <c r="H31" i="1" a="1"/>
  <c r="G32" i="1" a="1"/>
  <c r="H32" i="1" a="1"/>
  <c r="G33" i="1" a="1"/>
  <c r="H33" i="1" a="1"/>
  <c r="G34" i="1" a="1"/>
  <c r="H34" i="1" a="1"/>
  <c r="G35" i="1" a="1"/>
  <c r="H35" i="1" a="1"/>
  <c r="G36" i="1" a="1"/>
  <c r="H36" i="1" a="1"/>
  <c r="G37" i="1" a="1"/>
  <c r="H37" i="1" a="1"/>
  <c r="G38" i="1" a="1"/>
  <c r="H38" i="1" a="1"/>
  <c r="G39" i="1" a="1"/>
  <c r="H39" i="1" a="1"/>
  <c r="G40" i="1" a="1"/>
  <c r="H40" i="1" a="1"/>
  <c r="G41" i="1" a="1"/>
  <c r="H41" i="1" a="1"/>
  <c r="G42" i="1" a="1"/>
  <c r="H42" i="1" a="1"/>
  <c r="G43" i="1" a="1"/>
  <c r="H43" i="1" a="1"/>
  <c r="G44" i="1" a="1"/>
  <c r="H44" i="1" a="1"/>
  <c r="G45" i="1" a="1"/>
  <c r="H45" i="1" a="1"/>
  <c r="G46" i="1" a="1"/>
  <c r="H46" i="1" a="1"/>
  <c r="G47" i="1" a="1"/>
  <c r="H47" i="1" a="1"/>
  <c r="G48" i="1" a="1"/>
  <c r="H48" i="1" a="1"/>
  <c r="G49" i="1" a="1"/>
  <c r="H49" i="1" a="1"/>
  <c r="G50" i="1" a="1"/>
  <c r="H50" i="1" a="1"/>
  <c r="G51" i="1" a="1"/>
  <c r="H51" i="1" a="1"/>
  <c r="G52" i="1" a="1"/>
  <c r="H52" i="1" a="1"/>
  <c r="G53" i="1" a="1"/>
  <c r="H53" i="1" a="1"/>
  <c r="G54" i="1" a="1"/>
  <c r="H54" i="1" a="1"/>
  <c r="G55" i="1" a="1"/>
  <c r="H55" i="1" a="1"/>
  <c r="G56" i="1" a="1"/>
  <c r="H56" i="1" a="1"/>
  <c r="G57" i="1" a="1"/>
  <c r="H57" i="1" a="1"/>
  <c r="G58" i="1" a="1"/>
  <c r="H58" i="1" a="1"/>
  <c r="G59" i="1" a="1"/>
  <c r="H59" i="1" a="1"/>
  <c r="G60" i="1" a="1"/>
  <c r="H60" i="1" a="1"/>
  <c r="G61" i="1" a="1"/>
  <c r="H61" i="1" a="1"/>
  <c r="G62" i="1" a="1"/>
  <c r="H62" i="1" a="1"/>
  <c r="G63" i="1" a="1"/>
  <c r="H63" i="1" a="1"/>
  <c r="G64" i="1" a="1"/>
  <c r="H64" i="1" a="1"/>
  <c r="G65" i="1" a="1"/>
  <c r="H65" i="1" a="1"/>
  <c r="G66" i="1" a="1"/>
  <c r="H66" i="1" a="1"/>
  <c r="G67" i="1" a="1"/>
  <c r="H67" i="1" a="1"/>
  <c r="G68" i="1" a="1"/>
  <c r="H68" i="1" a="1"/>
  <c r="G69" i="1" a="1"/>
  <c r="H69" i="1" a="1"/>
  <c r="G70" i="1" a="1"/>
  <c r="H70" i="1" a="1"/>
  <c r="G71" i="1" a="1"/>
  <c r="H71" i="1" a="1"/>
  <c r="G72" i="1" a="1"/>
  <c r="H72" i="1" a="1"/>
  <c r="G73" i="1" a="1"/>
  <c r="H73" i="1" a="1"/>
  <c r="G74" i="1" a="1"/>
  <c r="H74" i="1" a="1"/>
  <c r="G75" i="1" a="1"/>
  <c r="H75" i="1" a="1"/>
  <c r="G76" i="1" a="1"/>
  <c r="H76" i="1" a="1"/>
  <c r="G77" i="1" a="1"/>
  <c r="H77" i="1" a="1"/>
  <c r="G78" i="1" a="1"/>
  <c r="H78" i="1" a="1"/>
  <c r="G79" i="1" a="1"/>
  <c r="H79" i="1" a="1"/>
  <c r="G80" i="1" a="1"/>
  <c r="H80" i="1" a="1"/>
  <c r="G81" i="1" a="1"/>
  <c r="H81" i="1" a="1"/>
  <c r="G82" i="1" a="1"/>
  <c r="H82" i="1" a="1"/>
  <c r="G83" i="1" a="1"/>
  <c r="H83" i="1" a="1"/>
  <c r="G84" i="1" a="1"/>
  <c r="H84" i="1" a="1"/>
  <c r="G85" i="1" a="1"/>
  <c r="H85" i="1" a="1"/>
  <c r="G86" i="1" a="1"/>
  <c r="H86" i="1" a="1"/>
  <c r="G87" i="1" a="1"/>
  <c r="H87" i="1" a="1"/>
  <c r="G88" i="1" a="1"/>
  <c r="H88" i="1" a="1"/>
  <c r="G89" i="1" a="1"/>
  <c r="H89" i="1" a="1"/>
  <c r="G90" i="1" a="1"/>
  <c r="H90" i="1" a="1"/>
  <c r="G91" i="1" a="1"/>
  <c r="H91" i="1" a="1"/>
  <c r="G92" i="1" a="1"/>
  <c r="H92" i="1" a="1"/>
  <c r="G93" i="1" a="1"/>
  <c r="H93" i="1" a="1"/>
  <c r="G94" i="1" a="1"/>
  <c r="H94" i="1" a="1"/>
  <c r="G95" i="1" a="1"/>
  <c r="H95" i="1" a="1"/>
  <c r="G96" i="1" a="1"/>
  <c r="H96" i="1" a="1"/>
  <c r="G97" i="1" a="1"/>
  <c r="H97" i="1" a="1"/>
  <c r="G98" i="1" a="1"/>
  <c r="H98" i="1" a="1"/>
  <c r="G99" i="1" a="1"/>
  <c r="H99" i="1" a="1"/>
  <c r="G100" i="1" a="1"/>
  <c r="H100" i="1" a="1"/>
  <c r="G14" i="1" a="1"/>
  <c r="H14" i="1" a="1"/>
  <c r="G15" i="1" a="1"/>
  <c r="H15" i="1" a="1"/>
  <c r="G16" i="1" a="1"/>
  <c r="H16" i="1" a="1"/>
  <c r="I5" i="1" a="1"/>
  <c r="G13" i="1" a="1"/>
  <c r="H13" i="1" a="1"/>
  <c r="H12" i="1" a="1"/>
  <c r="G12" i="1" a="1"/>
  <c r="I10" i="1" a="1"/>
  <c r="I6" i="1" a="1"/>
  <c r="I7" i="1" a="1"/>
  <c r="H5" i="1" a="1"/>
  <c r="G5" i="1" a="1"/>
  <c r="I9" i="1" a="1"/>
  <c r="I8" i="1" a="1"/>
  <c r="H8" i="1" a="1"/>
  <c r="G8" i="1" a="1"/>
  <c r="G9" i="1" a="1"/>
  <c r="H9" i="1" a="1"/>
  <c r="H10" i="1" a="1"/>
  <c r="G10" i="1" a="1"/>
  <c r="G11" i="1" a="1"/>
  <c r="H11" i="1" a="1"/>
  <c r="G6" i="1" l="1" a="1"/>
  <c r="G7" i="1" a="1"/>
  <c r="H6" i="1" a="1"/>
  <c r="H7" i="1" s="1" a="1"/>
  <c r="L5" i="1" l="1" a="1"/>
  <c r="L6" i="1" s="1"/>
  <c r="L4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<sst xmlns="http://schemas.openxmlformats.org/spreadsheetml/2006/main" count="18" uniqueCount="18">
  <si>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JOB NAME</t>
  </si>
  <si>
    <t>TRAVERSE NAME</t>
  </si>
  <si>
    <t>QUADRANT</t>
  </si>
  <si>
    <t>BEARING</t>
  </si>
  <si>
    <t>DISTANCE</t>
  </si>
  <si>
    <t>RADIUS</t>
  </si>
  <si>
    <t>DELTA ANGLE</t>
  </si>
  <si>
    <t>ARC LENGTH</t>
  </si>
  <si>
    <t>NORTHING</t>
  </si>
  <si>
    <t>EASTING</t>
  </si>
  <si>
    <t>RESULTS</t>
  </si>
  <si>
    <t>SECTOR AREA</t>
  </si>
  <si>
    <t>PARCEL AREA (sq. ft.)</t>
  </si>
  <si>
    <t>PARCEL AREA (acres)</t>
  </si>
  <si>
    <t>acres</t>
  </si>
  <si>
    <t>sq. ft.</t>
  </si>
  <si>
    <t>ft.</t>
  </si>
  <si>
    <t>HZ 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</si>
</sst>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0.\º00&quot;'&quot;00&quot;''&quot;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1" fillId="2" borderId="8" xfId="0" applyFont="1" applyFill="1" applyBorder="1" applyAlignment="1" applyProtection="1">
      <alignment horizontal="left"/>
      <protection locked="0"/>
    </xf>
    <xf numFmtId="2" fontId="0" fillId="6" borderId="4" xfId="0" applyNumberFormat="1" applyFill="1" applyBorder="1" applyAlignment="1" applyProtection="1">
      <alignment horizontal="center"/>
      <protection locked="0"/>
    </xf>
    <xf numFmtId="164" fontId="0" fillId="6" borderId="4" xfId="0" applyNumberFormat="1" applyFill="1" applyBorder="1" applyAlignment="1" applyProtection="1">
      <alignment horizontal="center"/>
      <protection locked="0"/>
    </xf>
    <xf numFmtId="2" fontId="0" fillId="0" borderId="4" xfId="0" applyNumberFormat="1" applyBorder="1" applyProtection="1">
      <protection locked="0"/>
    </xf>
    <xf numFmtId="0" fontId="1" fillId="2" borderId="11" xfId="0" applyFont="1" applyFill="1" applyBorder="1" applyAlignment="1" applyProtection="1">
      <alignment horizontal="left"/>
      <protection locked="0"/>
    </xf>
    <xf numFmtId="165" fontId="0" fillId="8" borderId="4" xfId="0" applyNumberFormat="1" applyFill="1" applyBorder="1" applyAlignment="1" applyProtection="1">
      <alignment horizontal="center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164" fontId="0" fillId="5" borderId="4" xfId="0" applyNumberFormat="1" applyFill="1" applyBorder="1" applyAlignment="1" applyProtection="1">
      <alignment horizontal="center"/>
      <protection locked="0"/>
    </xf>
    <xf numFmtId="2" fontId="0" fillId="5" borderId="4" xfId="0" applyNumberFormat="1" applyFill="1" applyBorder="1" applyAlignment="1" applyProtection="1">
      <alignment horizontal="center"/>
      <protection locked="0"/>
    </xf>
    <xf numFmtId="2" fontId="0" fillId="8" borderId="4" xfId="0" applyNumberFormat="1" applyFill="1" applyBorder="1" applyAlignment="1" applyProtection="1">
      <alignment horizontal="center"/>
      <protection locked="0"/>
    </xf>
    <xf numFmtId="164" fontId="0" fillId="8" borderId="4" xfId="0" applyNumberFormat="1" applyFill="1" applyBorder="1" applyAlignment="1" applyProtection="1">
      <alignment horizontal="center"/>
      <protection locked="0"/>
    </xf>
    <xf numFmtId="165" fontId="0" fillId="7" borderId="4" xfId="0" applyNumberFormat="1" applyFill="1" applyBorder="1" applyAlignment="1">
      <alignment horizontal="center"/>
    </xf>
    <xf numFmtId="165" fontId="1" fillId="2" borderId="4" xfId="0" applyNumberFormat="1" applyFont="1" applyFill="1" applyBorder="1" applyAlignment="1">
      <alignment horizontal="right"/>
    </xf>
    <xf numFmtId="3" fontId="1" fillId="2" borderId="4" xfId="0" applyNumberFormat="1" applyFont="1" applyFill="1" applyBorder="1"/>
    <xf numFmtId="165" fontId="1" fillId="2" borderId="10" xfId="0" applyNumberFormat="1" applyFont="1" applyFill="1" applyBorder="1"/>
    <xf numFmtId="0" fontId="1" fillId="3" borderId="4" xfId="0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2" fontId="1" fillId="3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164" fontId="3" fillId="2" borderId="1" xfId="0" applyNumberFormat="1" applyFont="1" applyFill="1" applyBorder="1" applyAlignment="1" applyProtection="1">
      <alignment horizontal="left" vertical="center"/>
      <protection locked="0"/>
    </xf>
    <xf numFmtId="164" fontId="3" fillId="2" borderId="2" xfId="0" applyNumberFormat="1" applyFont="1" applyFill="1" applyBorder="1" applyAlignment="1" applyProtection="1">
      <alignment horizontal="left" vertical="center"/>
      <protection locked="0"/>
    </xf>
    <xf numFmtId="164" fontId="3" fillId="2" borderId="1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152400</xdr:rowOff>
        </xdr:from>
        <xdr:to>
          <xdr:col>11</xdr:col>
          <xdr:colOff>142875</xdr:colOff>
          <xdr:row>12</xdr:row>
          <xdr:rowOff>133350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828675</xdr:colOff>
          <xdr:row>7</xdr:row>
          <xdr:rowOff>104775</xdr:rowOff>
        </xdr:from>
        <xdr:to>
          <xdr:col>11</xdr:col>
          <xdr:colOff>933450</xdr:colOff>
          <xdr:row>9</xdr:row>
          <xdr:rowOff>114300</xdr:rowOff>
        </xdr:to>
        <xdr:sp macro="" textlink="">
          <xdr:nvSpPr>
            <xdr:cNvPr id="1036" name="NewTraverse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10</xdr:row>
          <xdr:rowOff>142875</xdr:rowOff>
        </xdr:from>
        <xdr:to>
          <xdr:col>13</xdr:col>
          <xdr:colOff>133350</xdr:colOff>
          <xdr:row>12</xdr:row>
          <xdr:rowOff>114300</xdr:rowOff>
        </xdr:to>
        <xdr:sp macro="" textlink="">
          <xdr:nvSpPr>
            <xdr:cNvPr id="1037" name="GenerateReport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EA9E-8B7A-4251-9C8D-058AC6E5227D}">
  <sheetPr codeName="Sheet1"/>
  <dimension ref="A1:M101"/>
  <sheetViews>
    <sheetView tabSelected="1" workbookViewId="0">
      <selection activeCell="A2" sqref="A2:C2"/>
    </sheetView>
  </sheetViews>
  <sheetFormatPr defaultColWidth="9.140625" defaultRowHeight="15" x14ac:dyDescent="0.25"/>
  <cols>
    <col min="1" max="1" width="11" style="5" customWidth="1"/>
    <col min="2" max="2" width="19.85546875" style="4" customWidth="1"/>
    <col min="3" max="3" width="13.85546875" style="5" customWidth="1"/>
    <col min="4" max="4" width="9.140625" style="1"/>
    <col min="5" max="5" width="17.7109375" style="1" customWidth="1"/>
    <col min="6" max="6" width="19.85546875" style="4" customWidth="1"/>
    <col min="7" max="7" width="16.42578125" style="1" customWidth="1"/>
    <col min="8" max="8" width="19.5703125" style="1" customWidth="1"/>
    <col min="9" max="9" width="13" style="2" hidden="1" customWidth="1"/>
    <col min="10" max="10" width="5.140625" style="2" customWidth="1"/>
    <col min="11" max="11" width="19.140625" style="3" customWidth="1"/>
    <col min="12" max="12" width="15.28515625" style="2" customWidth="1"/>
    <col min="13" max="16384" width="9.140625" style="2"/>
  </cols>
  <sheetData>
    <row r="1" spans="1:13" ht="29.25" customHeight="1" thickBot="1" x14ac:dyDescent="0.3">
      <c r="A1" s="30" t="s">
        <v>0</v>
      </c>
      <c r="B1" s="36"/>
      <c r="C1" s="37"/>
      <c r="D1" s="13"/>
      <c r="E1" s="31" t="s">
        <v>1</v>
      </c>
      <c r="F1" s="34"/>
      <c r="G1" s="35"/>
    </row>
    <row r="2" spans="1:13" ht="15.75" thickBot="1" x14ac:dyDescent="0.3">
      <c r="A2" s="41"/>
      <c r="B2" s="41"/>
      <c r="C2" s="41"/>
    </row>
    <row r="3" spans="1:13" s="5" customFormat="1" x14ac:dyDescent="0.25">
      <c r="A3" s="23" t="s">
        <v>2</v>
      </c>
      <c r="B3" s="24" t="s">
        <v>3</v>
      </c>
      <c r="C3" s="23" t="s">
        <v>4</v>
      </c>
      <c r="D3" s="25" t="s">
        <v>5</v>
      </c>
      <c r="E3" s="25" t="s">
        <v>7</v>
      </c>
      <c r="F3" s="24" t="s">
        <v>6</v>
      </c>
      <c r="G3" s="25" t="s">
        <v>8</v>
      </c>
      <c r="H3" s="25" t="s">
        <v>9</v>
      </c>
      <c r="I3" s="23" t="s">
        <v>11</v>
      </c>
      <c r="J3" s="26"/>
      <c r="K3" s="38" t="s">
        <v>10</v>
      </c>
      <c r="L3" s="39"/>
      <c r="M3" s="40"/>
    </row>
    <row r="4" spans="1:13" x14ac:dyDescent="0.25">
      <c r="A4" s="27"/>
      <c r="B4" s="28"/>
      <c r="C4" s="27"/>
      <c r="D4" s="29"/>
      <c r="E4" s="29"/>
      <c r="F4" s="28"/>
      <c r="G4" s="12">
        <v>0</v>
      </c>
      <c r="H4" s="12">
        <v>0</v>
      </c>
      <c r="I4" s="6"/>
      <c r="K4" s="32" t="s">
        <v>17</v>
      </c>
      <c r="L4" s="20" cm="1">
        <f t="array" ref="L4">SQRT((G4- INDEX(G4:G100, COUNT(G4:G100)))^2+(H4- INDEX(H4:H100, COUNT(H4:H100)))^2)</f>
        <v>0</v>
      </c>
      <c r="M4" s="7" t="s">
        <v>16</v>
      </c>
    </row>
    <row r="5" spans="1:13" x14ac:dyDescent="0.25">
      <c r="A5" s="14"/>
      <c r="B5" s="15"/>
      <c r="C5" s="16"/>
      <c r="D5" s="16"/>
      <c r="E5" s="17"/>
      <c r="F5" s="18"/>
      <c r="G5" s="19" t="str" cm="1">
        <f t="array" ref="G5">IF(C5&lt;&gt;0,G4+(COS(RADIANS(IF(A5=1, hmstohdd(B5), IF(A5=2, 180-hmstohdd(B5), IF(A5=3, 180+hmstohdd(B5), IF(A5=4, 360-hmstohdd(B5), ""))))))*C5),"")</f>
        <v/>
      </c>
      <c r="H5" s="19" t="str" cm="1">
        <f t="array" ref="H5">IF(C5&lt;&gt;0,H4+(SIN(RADIANS(IF(A5=1, hmstohdd(B5), IF(A5=2, 180-hmstohdd(B5), IF(A5=3, 180+hmstohdd(B5), IF(A5=4, 360-hmstohdd(B5), ""))))))*C5),"")</f>
        <v/>
      </c>
      <c r="I5" s="10" t="str" cm="1">
        <f t="array" ref="I5">IF(D5&lt;&gt;0,IF(D5&lt;0,-(D5^2/2*(RADIANS(hmstohdd(F5))-SIN(RADIANS(hmstohdd(F5))))),D5^2/2*(RADIANS(hmstohdd(F5))-SIN(RADIANS(hmstohdd(F5))))),"")</f>
        <v/>
      </c>
      <c r="K5" s="32" t="s">
        <v>12</v>
      </c>
      <c r="L5" s="21" t="e" cm="1">
        <f t="array" ref="L5">ABS(CalculateArea(G4:H100))-IF(CalculateArea(G4:H100)&lt;0,SUM(I5:I100),-SUM(I5:I100))</f>
        <v>#VALUE!</v>
      </c>
      <c r="M5" s="7" t="s">
        <v>15</v>
      </c>
    </row>
    <row r="6" spans="1:13" ht="15.75" thickBot="1" x14ac:dyDescent="0.3">
      <c r="A6" s="14"/>
      <c r="B6" s="15"/>
      <c r="C6" s="16"/>
      <c r="D6" s="16"/>
      <c r="E6" s="17"/>
      <c r="F6" s="18"/>
      <c r="G6" s="19" t="str" cm="1">
        <f t="array" ref="G6">IF(C6&lt;&gt;0,G5+(COS(RADIANS(IF(A6=1, hmstohdd(B6), IF(A6=2, 180-hmstohdd(B6), IF(A6=3, 180+hmstohdd(B6), IF(A6=4, 360-hmstohdd(B6), ""))))))*C6),"")</f>
        <v/>
      </c>
      <c r="H6" s="19" t="str" cm="1">
        <f t="array" ref="H6">IF(C6&lt;&gt;0,H5+(SIN(RADIANS(IF(A6=1, hmstohdd(B6), IF(A6=2, 180-hmstohdd(B6), IF(A6=3, 180+hmstohdd(B6), IF(A6=4, 360-hmstohdd(B6), ""))))))*C6),"")</f>
        <v/>
      </c>
      <c r="I6" s="10" t="str" cm="1">
        <f t="array" ref="I6">IF(D6&lt;&gt;0,IF(D6&lt;0,-(D6^2/2*(RADIANS(hmstohdd(F6))-SIN(RADIANS(hmstohdd(F6))))),D6^2/2*(RADIANS(hmstohdd(F6))-SIN(RADIANS(hmstohdd(F6))))),"")</f>
        <v/>
      </c>
      <c r="K6" s="33" t="s">
        <v>13</v>
      </c>
      <c r="L6" s="22" t="e">
        <f>L5/43560</f>
        <v>#VALUE!</v>
      </c>
      <c r="M6" s="11" t="s">
        <v>14</v>
      </c>
    </row>
    <row r="7" spans="1:13" x14ac:dyDescent="0.25">
      <c r="A7" s="14"/>
      <c r="B7" s="15"/>
      <c r="C7" s="16"/>
      <c r="D7" s="16"/>
      <c r="E7" s="17"/>
      <c r="F7" s="18"/>
      <c r="G7" s="19" t="str" cm="1">
        <f t="array" ref="G7">IF(C7&lt;&gt;0,G6+(COS(RADIANS(IF(A7=1, hmstohdd(B7), IF(A7=2, 180-hmstohdd(B7), IF(A7=3, 180+hmstohdd(B7), IF(A7=4, 360-hmstohdd(B7), ""))))))*C7),"")</f>
        <v/>
      </c>
      <c r="H7" s="19" t="str" cm="1">
        <f t="array" ref="H7">IF(C7&lt;&gt;0,H6+(SIN(RADIANS(IF(A7=1, hmstohdd(B7), IF(A7=2, 180-hmstohdd(B7), IF(A7=3, 180+hmstohdd(B7), IF(A7=4, 360-hmstohdd(B7), ""))))))*C7),"")</f>
        <v/>
      </c>
      <c r="I7" s="10" t="str" cm="1">
        <f t="array" ref="I7">IF(D7&lt;&gt;0,IF(D7&lt;0,-(D7^2/2*(RADIANS(hmstohdd(F7))-SIN(RADIANS(hmstohdd(F7))))),D7^2/2*(RADIANS(hmstohdd(F7))-SIN(RADIANS(hmstohdd(F7))))),"")</f>
        <v/>
      </c>
    </row>
    <row r="8" spans="1:13" x14ac:dyDescent="0.25">
      <c r="A8" s="14"/>
      <c r="B8" s="15"/>
      <c r="C8" s="16"/>
      <c r="D8" s="16"/>
      <c r="E8" s="17"/>
      <c r="F8" s="18"/>
      <c r="G8" s="19" t="str" cm="1">
        <f t="array" ref="G8">IF(C8&lt;&gt;0,G7+(COS(RADIANS(IF(A8=1, hmstohdd(B8), IF(A8=2, 180-hmstohdd(B8), IF(A8=3, 180+hmstohdd(B8), IF(A8=4, 360-hmstohdd(B8), ""))))))*C8),"")</f>
        <v/>
      </c>
      <c r="H8" s="19" t="str" cm="1">
        <f t="array" ref="H8">IF(C8&lt;&gt;0,H7+(SIN(RADIANS(IF(A8=1, hmstohdd(B8), IF(A8=2, 180-hmstohdd(B8), IF(A8=3, 180+hmstohdd(B8), IF(A8=4, 360-hmstohdd(B8), ""))))))*C8),"")</f>
        <v/>
      </c>
      <c r="I8" s="10" t="str" cm="1">
        <f t="array" ref="I8">IF(D8&lt;&gt;0,IF(D8&lt;0,-(D8^2/2*(RADIANS(hmstohdd(F8))-SIN(RADIANS(hmstohdd(F8))))),D8^2/2*(RADIANS(hmstohdd(F8))-SIN(RADIANS(hmstohdd(F8))))),"")</f>
        <v/>
      </c>
    </row>
    <row r="9" spans="1:13" x14ac:dyDescent="0.25">
      <c r="A9" s="14"/>
      <c r="B9" s="15"/>
      <c r="C9" s="16"/>
      <c r="D9" s="16"/>
      <c r="E9" s="17"/>
      <c r="F9" s="18"/>
      <c r="G9" s="19" t="str" cm="1">
        <f t="array" ref="G9">IF(C9&lt;&gt;0,G8+(COS(RADIANS(IF(A9=1, hmstohdd(B9), IF(A9=2, 180-hmstohdd(B9), IF(A9=3, 180+hmstohdd(B9), IF(A9=4, 360-hmstohdd(B9), ""))))))*C9),"")</f>
        <v/>
      </c>
      <c r="H9" s="19" t="str" cm="1">
        <f t="array" ref="H9">IF(C9&lt;&gt;0,H8+(SIN(RADIANS(IF(A9=1, hmstohdd(B9), IF(A9=2, 180-hmstohdd(B9), IF(A9=3, 180+hmstohdd(B9), IF(A9=4, 360-hmstohdd(B9), ""))))))*C9),"")</f>
        <v/>
      </c>
      <c r="I9" s="10" t="str" cm="1">
        <f t="array" ref="I9">IF(D9&lt;&gt;0,IF(D9&lt;0,-(D9^2/2*(RADIANS(hmstohdd(F9))-SIN(RADIANS(hmstohdd(F9))))),D9^2/2*(RADIANS(hmstohdd(F9))-SIN(RADIANS(hmstohdd(F9))))),"")</f>
        <v/>
      </c>
    </row>
    <row r="10" spans="1:13" x14ac:dyDescent="0.25">
      <c r="A10" s="14"/>
      <c r="B10" s="15"/>
      <c r="C10" s="16"/>
      <c r="D10" s="16"/>
      <c r="E10" s="17"/>
      <c r="F10" s="18"/>
      <c r="G10" s="19" t="str" cm="1">
        <f t="array" ref="G10">IF(C10&lt;&gt;0,G9+(COS(RADIANS(IF(A10=1, hmstohdd(B10), IF(A10=2, 180-hmstohdd(B10), IF(A10=3, 180+hmstohdd(B10), IF(A10=4, 360-hmstohdd(B10), ""))))))*C10),"")</f>
        <v/>
      </c>
      <c r="H10" s="19" t="str" cm="1">
        <f t="array" ref="H10">IF(C10&lt;&gt;0,H9+(SIN(RADIANS(IF(A10=1, hmstohdd(B10), IF(A10=2, 180-hmstohdd(B10), IF(A10=3, 180+hmstohdd(B10), IF(A10=4, 360-hmstohdd(B10), ""))))))*C10),"")</f>
        <v/>
      </c>
      <c r="I10" s="10" t="str" cm="1">
        <f t="array" ref="I10">IF(D10&lt;&gt;0,IF(D10&lt;0,-(D10^2/2*(RADIANS(hmstohdd(F10))-SIN(RADIANS(hmstohdd(F10))))),D10^2/2*(RADIANS(hmstohdd(F10))-SIN(RADIANS(hmstohdd(F10))))),"")</f>
        <v/>
      </c>
    </row>
    <row r="11" spans="1:13" x14ac:dyDescent="0.25">
      <c r="A11" s="14"/>
      <c r="B11" s="15"/>
      <c r="C11" s="16"/>
      <c r="D11" s="16"/>
      <c r="E11" s="17"/>
      <c r="F11" s="18"/>
      <c r="G11" s="19" t="str" cm="1">
        <f t="array" ref="G11">IF(C11&lt;&gt;0,G10+(COS(RADIANS(IF(A11=1, hmstohdd(B11), IF(A11=2, 180-hmstohdd(B11), IF(A11=3, 180+hmstohdd(B11), IF(A11=4, 360-hmstohdd(B11), ""))))))*C11),"")</f>
        <v/>
      </c>
      <c r="H11" s="19" t="str" cm="1">
        <f t="array" ref="H11">IF(C11&lt;&gt;0,H10+(SIN(RADIANS(IF(A11=1, hmstohdd(B11), IF(A11=2, 180-hmstohdd(B11), IF(A11=3, 180+hmstohdd(B11), IF(A11=4, 360-hmstohdd(B11), ""))))))*C11),"")</f>
        <v/>
      </c>
      <c r="I11" s="10" t="str" cm="1">
        <f t="array" ref="I11">IF(D11&lt;&gt;0,IF(D11&lt;0,-(D11^2/2*(RADIANS(hmstohdd(F11))-SIN(RADIANS(hmstohdd(F11))))),D11^2/2*(RADIANS(hmstohdd(F11))-SIN(RADIANS(hmstohdd(F11))))),"")</f>
        <v/>
      </c>
    </row>
    <row r="12" spans="1:13" x14ac:dyDescent="0.25">
      <c r="A12" s="14"/>
      <c r="B12" s="15"/>
      <c r="C12" s="16"/>
      <c r="D12" s="16"/>
      <c r="E12" s="17"/>
      <c r="F12" s="18"/>
      <c r="G12" s="19" t="str" cm="1">
        <f t="array" ref="G12">IF(C12&lt;&gt;0,G11+(COS(RADIANS(IF(A12=1, hmstohdd(B12), IF(A12=2, 180-hmstohdd(B12), IF(A12=3, 180+hmstohdd(B12), IF(A12=4, 360-hmstohdd(B12), ""))))))*C12),"")</f>
        <v/>
      </c>
      <c r="H12" s="19" t="str" cm="1">
        <f t="array" ref="H12">IF(C12&lt;&gt;0,H11+(SIN(RADIANS(IF(A12=1, hmstohdd(B12), IF(A12=2, 180-hmstohdd(B12), IF(A12=3, 180+hmstohdd(B12), IF(A12=4, 360-hmstohdd(B12), ""))))))*C12),"")</f>
        <v/>
      </c>
      <c r="I12" s="10" t="str" cm="1">
        <f t="array" ref="I12">IF(D12&lt;&gt;0,IF(D12&lt;0,-(D12^2/2*(RADIANS(hmstohdd(F12))-SIN(RADIANS(hmstohdd(F12))))),D12^2/2*(RADIANS(hmstohdd(F12))-SIN(RADIANS(hmstohdd(F12))))),"")</f>
        <v/>
      </c>
    </row>
    <row r="13" spans="1:13" x14ac:dyDescent="0.25">
      <c r="A13" s="14"/>
      <c r="B13" s="15"/>
      <c r="C13" s="16"/>
      <c r="D13" s="16"/>
      <c r="E13" s="17"/>
      <c r="F13" s="18"/>
      <c r="G13" s="19" t="str" cm="1">
        <f t="array" ref="G13">IF(C13&lt;&gt;0,G12+(COS(RADIANS(IF(A13=1, hmstohdd(B13), IF(A13=2, 180-hmstohdd(B13), IF(A13=3, 180+hmstohdd(B13), IF(A13=4, 360-hmstohdd(B13), ""))))))*C13),"")</f>
        <v/>
      </c>
      <c r="H13" s="19" t="str" cm="1">
        <f t="array" ref="H13">IF(C13&lt;&gt;0,H12+(SIN(RADIANS(IF(A13=1, hmstohdd(B13), IF(A13=2, 180-hmstohdd(B13), IF(A13=3, 180+hmstohdd(B13), IF(A13=4, 360-hmstohdd(B13), ""))))))*C13),"")</f>
        <v/>
      </c>
      <c r="I13" s="10" t="str" cm="1">
        <f t="array" ref="I13">IF(D13&lt;&gt;0,IF(D13&lt;0,-(D13^2/2*(RADIANS(hmstohdd(F13))-SIN(RADIANS(hmstohdd(F13))))),D13^2/2*(RADIANS(hmstohdd(F13))-SIN(RADIANS(hmstohdd(F13))))),"")</f>
        <v/>
      </c>
    </row>
    <row r="14" spans="1:13" x14ac:dyDescent="0.25">
      <c r="A14" s="14"/>
      <c r="B14" s="15"/>
      <c r="C14" s="16"/>
      <c r="D14" s="16"/>
      <c r="E14" s="17"/>
      <c r="F14" s="18"/>
      <c r="G14" s="19" t="str" cm="1">
        <f t="array" ref="G14">IF(C14&lt;&gt;0,G13+(COS(RADIANS(IF(A14=1, hmstohdd(B14), IF(A14=2, 180-hmstohdd(B14), IF(A14=3, 180+hmstohdd(B14), IF(A14=4, 360-hmstohdd(B14), ""))))))*C14),"")</f>
        <v/>
      </c>
      <c r="H14" s="19" t="str" cm="1">
        <f t="array" ref="H14">IF(C14&lt;&gt;0,H13+(SIN(RADIANS(IF(A14=1, hmstohdd(B14), IF(A14=2, 180-hmstohdd(B14), IF(A14=3, 180+hmstohdd(B14), IF(A14=4, 360-hmstohdd(B14), ""))))))*C14),"")</f>
        <v/>
      </c>
      <c r="I14" s="10" t="str" cm="1">
        <f t="array" ref="I14">IF(D14&lt;&gt;0,IF(D14&lt;0,-(D14^2/2*(RADIANS(hmstohdd(F14))-SIN(RADIANS(hmstohdd(F14))))),D14^2/2*(RADIANS(hmstohdd(F14))-SIN(RADIANS(hmstohdd(F14))))),"")</f>
        <v/>
      </c>
    </row>
    <row r="15" spans="1:13" x14ac:dyDescent="0.25">
      <c r="A15" s="14"/>
      <c r="B15" s="15"/>
      <c r="C15" s="16"/>
      <c r="D15" s="16"/>
      <c r="E15" s="17"/>
      <c r="F15" s="18"/>
      <c r="G15" s="19" t="str" cm="1">
        <f t="array" ref="G15">IF(C15&lt;&gt;0,G14+(COS(RADIANS(IF(A15=1, hmstohdd(B15), IF(A15=2, 180-hmstohdd(B15), IF(A15=3, 180+hmstohdd(B15), IF(A15=4, 360-hmstohdd(B15), ""))))))*C15),"")</f>
        <v/>
      </c>
      <c r="H15" s="19" t="str" cm="1">
        <f t="array" ref="H15">IF(C15&lt;&gt;0,H14+(SIN(RADIANS(IF(A15=1, hmstohdd(B15), IF(A15=2, 180-hmstohdd(B15), IF(A15=3, 180+hmstohdd(B15), IF(A15=4, 360-hmstohdd(B15), ""))))))*C15),"")</f>
        <v/>
      </c>
      <c r="I15" s="10" t="str" cm="1">
        <f t="array" ref="I15">IF(D15&lt;&gt;0,IF(D15&lt;0,-(D15^2/2*(RADIANS(hmstohdd(F15))-SIN(RADIANS(hmstohdd(F15))))),D15^2/2*(RADIANS(hmstohdd(F15))-SIN(RADIANS(hmstohdd(F15))))),"")</f>
        <v/>
      </c>
    </row>
    <row r="16" spans="1:13" x14ac:dyDescent="0.25">
      <c r="A16" s="14"/>
      <c r="B16" s="15"/>
      <c r="C16" s="16"/>
      <c r="D16" s="16"/>
      <c r="E16" s="17"/>
      <c r="F16" s="18"/>
      <c r="G16" s="19" t="str" cm="1">
        <f t="array" ref="G16">IF(C16&lt;&gt;0,G15+(COS(RADIANS(IF(A16=1, hmstohdd(B16), IF(A16=2, 180-hmstohdd(B16), IF(A16=3, 180+hmstohdd(B16), IF(A16=4, 360-hmstohdd(B16), ""))))))*C16),"")</f>
        <v/>
      </c>
      <c r="H16" s="19" t="str" cm="1">
        <f t="array" ref="H16">IF(C16&lt;&gt;0,H15+(SIN(RADIANS(IF(A16=1, hmstohdd(B16), IF(A16=2, 180-hmstohdd(B16), IF(A16=3, 180+hmstohdd(B16), IF(A16=4, 360-hmstohdd(B16), ""))))))*C16),"")</f>
        <v/>
      </c>
      <c r="I16" s="10" t="str" cm="1">
        <f t="array" ref="I16">IF(D16&lt;&gt;0,IF(D16&lt;0,-(D16^2/2*(RADIANS(hmstohdd(F16))-SIN(RADIANS(hmstohdd(F16))))),D16^2/2*(RADIANS(hmstohdd(F16))-SIN(RADIANS(hmstohdd(F16))))),"")</f>
        <v/>
      </c>
    </row>
    <row r="17" spans="1:9" x14ac:dyDescent="0.25">
      <c r="A17" s="14"/>
      <c r="B17" s="15"/>
      <c r="C17" s="16"/>
      <c r="D17" s="16"/>
      <c r="E17" s="17"/>
      <c r="F17" s="18"/>
      <c r="G17" s="19" t="str" cm="1">
        <f t="array" ref="G17">IF(C17&lt;&gt;0,G16+(COS(RADIANS(IF(A17=1, hmstohdd(B17), IF(A17=2, 180-hmstohdd(B17), IF(A17=3, 180+hmstohdd(B17), IF(A17=4, 360-hmstohdd(B17), ""))))))*C17),"")</f>
        <v/>
      </c>
      <c r="H17" s="19" t="str" cm="1">
        <f t="array" ref="H17">IF(C17&lt;&gt;0,H16+(SIN(RADIANS(IF(A17=1, hmstohdd(B17), IF(A17=2, 180-hmstohdd(B17), IF(A17=3, 180+hmstohdd(B17), IF(A17=4, 360-hmstohdd(B17), ""))))))*C17),"")</f>
        <v/>
      </c>
      <c r="I17" s="10" t="str" cm="1">
        <f t="array" ref="I17">IF(D17&lt;&gt;0,IF(D17&lt;0,-(D17^2/2*(RADIANS(hmstohdd(F17))-SIN(RADIANS(hmstohdd(F17))))),D17^2/2*(RADIANS(hmstohdd(F17))-SIN(RADIANS(hmstohdd(F17))))),"")</f>
        <v/>
      </c>
    </row>
    <row r="18" spans="1:9" x14ac:dyDescent="0.25">
      <c r="A18" s="14"/>
      <c r="B18" s="15"/>
      <c r="C18" s="16"/>
      <c r="D18" s="16"/>
      <c r="E18" s="17"/>
      <c r="F18" s="18"/>
      <c r="G18" s="19" t="str" cm="1">
        <f t="array" ref="G18">IF(C18&lt;&gt;0,G17+(COS(RADIANS(IF(A18=1, hmstohdd(B18), IF(A18=2, 180-hmstohdd(B18), IF(A18=3, 180+hmstohdd(B18), IF(A18=4, 360-hmstohdd(B18), ""))))))*C18),"")</f>
        <v/>
      </c>
      <c r="H18" s="19" t="str" cm="1">
        <f t="array" ref="H18">IF(C18&lt;&gt;0,H17+(SIN(RADIANS(IF(A18=1, hmstohdd(B18), IF(A18=2, 180-hmstohdd(B18), IF(A18=3, 180+hmstohdd(B18), IF(A18=4, 360-hmstohdd(B18), ""))))))*C18),"")</f>
        <v/>
      </c>
      <c r="I18" s="10" t="str" cm="1">
        <f t="array" ref="I18">IF(D18&lt;&gt;0,IF(D18&lt;0,-(D18^2/2*(RADIANS(hmstohdd(F18))-SIN(RADIANS(hmstohdd(F18))))),D18^2/2*(RADIANS(hmstohdd(F18))-SIN(RADIANS(hmstohdd(F18))))),"")</f>
        <v/>
      </c>
    </row>
    <row r="19" spans="1:9" x14ac:dyDescent="0.25">
      <c r="A19" s="14"/>
      <c r="B19" s="15"/>
      <c r="C19" s="16"/>
      <c r="D19" s="16"/>
      <c r="E19" s="17"/>
      <c r="F19" s="18"/>
      <c r="G19" s="19" t="str" cm="1">
        <f t="array" ref="G19">IF(C19&lt;&gt;0,G18+(COS(RADIANS(IF(A19=1, hmstohdd(B19), IF(A19=2, 180-hmstohdd(B19), IF(A19=3, 180+hmstohdd(B19), IF(A19=4, 360-hmstohdd(B19), ""))))))*C19),"")</f>
        <v/>
      </c>
      <c r="H19" s="19" t="str" cm="1">
        <f t="array" ref="H19">IF(C19&lt;&gt;0,H18+(SIN(RADIANS(IF(A19=1, hmstohdd(B19), IF(A19=2, 180-hmstohdd(B19), IF(A19=3, 180+hmstohdd(B19), IF(A19=4, 360-hmstohdd(B19), ""))))))*C19),"")</f>
        <v/>
      </c>
      <c r="I19" s="10" t="str" cm="1">
        <f t="array" ref="I19">IF(D19&lt;&gt;0,IF(D19&lt;0,-(D19^2/2*(RADIANS(hmstohdd(F19))-SIN(RADIANS(hmstohdd(F19))))),D19^2/2*(RADIANS(hmstohdd(F19))-SIN(RADIANS(hmstohdd(F19))))),"")</f>
        <v/>
      </c>
    </row>
    <row r="20" spans="1:9" x14ac:dyDescent="0.25">
      <c r="A20" s="14"/>
      <c r="B20" s="15"/>
      <c r="C20" s="16"/>
      <c r="D20" s="16"/>
      <c r="E20" s="17"/>
      <c r="F20" s="18"/>
      <c r="G20" s="19" t="str" cm="1">
        <f t="array" ref="G20">IF(C20&lt;&gt;0,G19+(COS(RADIANS(IF(A20=1, hmstohdd(B20), IF(A20=2, 180-hmstohdd(B20), IF(A20=3, 180+hmstohdd(B20), IF(A20=4, 360-hmstohdd(B20), ""))))))*C20),"")</f>
        <v/>
      </c>
      <c r="H20" s="19" t="str" cm="1">
        <f t="array" ref="H20">IF(C20&lt;&gt;0,H19+(SIN(RADIANS(IF(A20=1, hmstohdd(B20), IF(A20=2, 180-hmstohdd(B20), IF(A20=3, 180+hmstohdd(B20), IF(A20=4, 360-hmstohdd(B20), ""))))))*C20),"")</f>
        <v/>
      </c>
      <c r="I20" s="10" t="str" cm="1">
        <f t="array" ref="I20">IF(D20&lt;&gt;0,IF(D20&lt;0,-(D20^2/2*(RADIANS(hmstohdd(F20))-SIN(RADIANS(hmstohdd(F20))))),D20^2/2*(RADIANS(hmstohdd(F20))-SIN(RADIANS(hmstohdd(F20))))),"")</f>
        <v/>
      </c>
    </row>
    <row r="21" spans="1:9" x14ac:dyDescent="0.25">
      <c r="A21" s="14"/>
      <c r="B21" s="15"/>
      <c r="C21" s="16"/>
      <c r="D21" s="16"/>
      <c r="E21" s="17"/>
      <c r="F21" s="18"/>
      <c r="G21" s="19" t="str" cm="1">
        <f t="array" ref="G21">IF(C21&lt;&gt;0,G20+(COS(RADIANS(IF(A21=1, hmstohdd(B21), IF(A21=2, 180-hmstohdd(B21), IF(A21=3, 180+hmstohdd(B21), IF(A21=4, 360-hmstohdd(B21), ""))))))*C21),"")</f>
        <v/>
      </c>
      <c r="H21" s="19" t="str" cm="1">
        <f t="array" ref="H21">IF(C21&lt;&gt;0,H20+(SIN(RADIANS(IF(A21=1, hmstohdd(B21), IF(A21=2, 180-hmstohdd(B21), IF(A21=3, 180+hmstohdd(B21), IF(A21=4, 360-hmstohdd(B21), ""))))))*C21),"")</f>
        <v/>
      </c>
      <c r="I21" s="10" t="str" cm="1">
        <f t="array" ref="I21">IF(D21&lt;&gt;0,IF(D21&lt;0,-(D21^2/2*(RADIANS(hmstohdd(F21))-SIN(RADIANS(hmstohdd(F21))))),D21^2/2*(RADIANS(hmstohdd(F21))-SIN(RADIANS(hmstohdd(F21))))),"")</f>
        <v/>
      </c>
    </row>
    <row r="22" spans="1:9" x14ac:dyDescent="0.25">
      <c r="A22" s="14"/>
      <c r="B22" s="15"/>
      <c r="C22" s="16"/>
      <c r="D22" s="16"/>
      <c r="E22" s="17"/>
      <c r="F22" s="18"/>
      <c r="G22" s="19" t="str" cm="1">
        <f t="array" ref="G22">IF(C22&lt;&gt;0,G21+(COS(RADIANS(IF(A22=1, hmstohdd(B22), IF(A22=2, 180-hmstohdd(B22), IF(A22=3, 180+hmstohdd(B22), IF(A22=4, 360-hmstohdd(B22), ""))))))*C22),"")</f>
        <v/>
      </c>
      <c r="H22" s="19" t="str" cm="1">
        <f t="array" ref="H22">IF(C22&lt;&gt;0,H21+(SIN(RADIANS(IF(A22=1, hmstohdd(B22), IF(A22=2, 180-hmstohdd(B22), IF(A22=3, 180+hmstohdd(B22), IF(A22=4, 360-hmstohdd(B22), ""))))))*C22),"")</f>
        <v/>
      </c>
      <c r="I22" s="10" t="str" cm="1">
        <f t="array" ref="I22">IF(D22&lt;&gt;0,IF(D22&lt;0,-(D22^2/2*(RADIANS(hmstohdd(F22))-SIN(RADIANS(hmstohdd(F22))))),D22^2/2*(RADIANS(hmstohdd(F22))-SIN(RADIANS(hmstohdd(F22))))),"")</f>
        <v/>
      </c>
    </row>
    <row r="23" spans="1:9" x14ac:dyDescent="0.25">
      <c r="A23" s="14"/>
      <c r="B23" s="15"/>
      <c r="C23" s="16"/>
      <c r="D23" s="16"/>
      <c r="E23" s="17"/>
      <c r="F23" s="18"/>
      <c r="G23" s="19" t="str" cm="1">
        <f t="array" ref="G23">IF(C23&lt;&gt;0,G22+(COS(RADIANS(IF(A23=1, hmstohdd(B23), IF(A23=2, 180-hmstohdd(B23), IF(A23=3, 180+hmstohdd(B23), IF(A23=4, 360-hmstohdd(B23), ""))))))*C23),"")</f>
        <v/>
      </c>
      <c r="H23" s="19" t="str" cm="1">
        <f t="array" ref="H23">IF(C23&lt;&gt;0,H22+(SIN(RADIANS(IF(A23=1, hmstohdd(B23), IF(A23=2, 180-hmstohdd(B23), IF(A23=3, 180+hmstohdd(B23), IF(A23=4, 360-hmstohdd(B23), ""))))))*C23),"")</f>
        <v/>
      </c>
      <c r="I23" s="10" t="str" cm="1">
        <f t="array" ref="I23">IF(D23&lt;&gt;0,IF(D23&lt;0,-(D23^2/2*(RADIANS(hmstohdd(F23))-SIN(RADIANS(hmstohdd(F23))))),D23^2/2*(RADIANS(hmstohdd(F23))-SIN(RADIANS(hmstohdd(F23))))),"")</f>
        <v/>
      </c>
    </row>
    <row r="24" spans="1:9" x14ac:dyDescent="0.25">
      <c r="A24" s="14"/>
      <c r="B24" s="15"/>
      <c r="C24" s="16"/>
      <c r="D24" s="16"/>
      <c r="E24" s="17"/>
      <c r="F24" s="18"/>
      <c r="G24" s="19" t="str" cm="1">
        <f t="array" ref="G24">IF(C24&lt;&gt;0,G23+(COS(RADIANS(IF(A24=1, hmstohdd(B24), IF(A24=2, 180-hmstohdd(B24), IF(A24=3, 180+hmstohdd(B24), IF(A24=4, 360-hmstohdd(B24), ""))))))*C24),"")</f>
        <v/>
      </c>
      <c r="H24" s="19" t="str" cm="1">
        <f t="array" ref="H24">IF(C24&lt;&gt;0,H23+(SIN(RADIANS(IF(A24=1, hmstohdd(B24), IF(A24=2, 180-hmstohdd(B24), IF(A24=3, 180+hmstohdd(B24), IF(A24=4, 360-hmstohdd(B24), ""))))))*C24),"")</f>
        <v/>
      </c>
      <c r="I24" s="10" t="str" cm="1">
        <f t="array" ref="I24">IF(D24&lt;&gt;0,IF(D24&lt;0,-(D24^2/2*(RADIANS(hmstohdd(F24))-SIN(RADIANS(hmstohdd(F24))))),D24^2/2*(RADIANS(hmstohdd(F24))-SIN(RADIANS(hmstohdd(F24))))),"")</f>
        <v/>
      </c>
    </row>
    <row r="25" spans="1:9" x14ac:dyDescent="0.25">
      <c r="A25" s="14"/>
      <c r="B25" s="15"/>
      <c r="C25" s="16"/>
      <c r="D25" s="16"/>
      <c r="E25" s="17"/>
      <c r="F25" s="18"/>
      <c r="G25" s="19" t="str" cm="1">
        <f t="array" ref="G25">IF(C25&lt;&gt;0,G24+(COS(RADIANS(IF(A25=1, hmstohdd(B25), IF(A25=2, 180-hmstohdd(B25), IF(A25=3, 180+hmstohdd(B25), IF(A25=4, 360-hmstohdd(B25), ""))))))*C25),"")</f>
        <v/>
      </c>
      <c r="H25" s="19" t="str" cm="1">
        <f t="array" ref="H25">IF(C25&lt;&gt;0,H24+(SIN(RADIANS(IF(A25=1, hmstohdd(B25), IF(A25=2, 180-hmstohdd(B25), IF(A25=3, 180+hmstohdd(B25), IF(A25=4, 360-hmstohdd(B25), ""))))))*C25),"")</f>
        <v/>
      </c>
      <c r="I25" s="10" t="str" cm="1">
        <f t="array" ref="I25">IF(D25&lt;&gt;0,IF(D25&lt;0,-(D25^2/2*(RADIANS(hmstohdd(F25))-SIN(RADIANS(hmstohdd(F25))))),D25^2/2*(RADIANS(hmstohdd(F25))-SIN(RADIANS(hmstohdd(F25))))),"")</f>
        <v/>
      </c>
    </row>
    <row r="26" spans="1:9" x14ac:dyDescent="0.25">
      <c r="A26" s="14"/>
      <c r="B26" s="15"/>
      <c r="C26" s="16"/>
      <c r="D26" s="16"/>
      <c r="E26" s="17"/>
      <c r="F26" s="18"/>
      <c r="G26" s="19" t="str" cm="1">
        <f t="array" ref="G26">IF(C26&lt;&gt;0,G25+(COS(RADIANS(IF(A26=1, hmstohdd(B26), IF(A26=2, 180-hmstohdd(B26), IF(A26=3, 180+hmstohdd(B26), IF(A26=4, 360-hmstohdd(B26), ""))))))*C26),"")</f>
        <v/>
      </c>
      <c r="H26" s="19" t="str" cm="1">
        <f t="array" ref="H26">IF(C26&lt;&gt;0,H25+(SIN(RADIANS(IF(A26=1, hmstohdd(B26), IF(A26=2, 180-hmstohdd(B26), IF(A26=3, 180+hmstohdd(B26), IF(A26=4, 360-hmstohdd(B26), ""))))))*C26),"")</f>
        <v/>
      </c>
      <c r="I26" s="10" t="str" cm="1">
        <f t="array" ref="I26">IF(D26&lt;&gt;0,IF(D26&lt;0,-(D26^2/2*(RADIANS(hmstohdd(F26))-SIN(RADIANS(hmstohdd(F26))))),D26^2/2*(RADIANS(hmstohdd(F26))-SIN(RADIANS(hmstohdd(F26))))),"")</f>
        <v/>
      </c>
    </row>
    <row r="27" spans="1:9" x14ac:dyDescent="0.25">
      <c r="A27" s="14"/>
      <c r="B27" s="15"/>
      <c r="C27" s="16"/>
      <c r="D27" s="16"/>
      <c r="E27" s="17"/>
      <c r="F27" s="18"/>
      <c r="G27" s="19" t="str" cm="1">
        <f t="array" ref="G27">IF(C27&lt;&gt;0,G26+(COS(RADIANS(IF(A27=1, hmstohdd(B27), IF(A27=2, 180-hmstohdd(B27), IF(A27=3, 180+hmstohdd(B27), IF(A27=4, 360-hmstohdd(B27), ""))))))*C27),"")</f>
        <v/>
      </c>
      <c r="H27" s="19" t="str" cm="1">
        <f t="array" ref="H27">IF(C27&lt;&gt;0,H26+(SIN(RADIANS(IF(A27=1, hmstohdd(B27), IF(A27=2, 180-hmstohdd(B27), IF(A27=3, 180+hmstohdd(B27), IF(A27=4, 360-hmstohdd(B27), ""))))))*C27),"")</f>
        <v/>
      </c>
      <c r="I27" s="10" t="str" cm="1">
        <f t="array" ref="I27">IF(D27&lt;&gt;0,IF(D27&lt;0,-(D27^2/2*(RADIANS(hmstohdd(F27))-SIN(RADIANS(hmstohdd(F27))))),D27^2/2*(RADIANS(hmstohdd(F27))-SIN(RADIANS(hmstohdd(F27))))),"")</f>
        <v/>
      </c>
    </row>
    <row r="28" spans="1:9" x14ac:dyDescent="0.25">
      <c r="A28" s="14"/>
      <c r="B28" s="15"/>
      <c r="C28" s="16"/>
      <c r="D28" s="16"/>
      <c r="E28" s="17"/>
      <c r="F28" s="18"/>
      <c r="G28" s="19" t="str" cm="1">
        <f t="array" ref="G28">IF(C28&lt;&gt;0,G27+(COS(RADIANS(IF(A28=1, hmstohdd(B28), IF(A28=2, 180-hmstohdd(B28), IF(A28=3, 180+hmstohdd(B28), IF(A28=4, 360-hmstohdd(B28), ""))))))*C28),"")</f>
        <v/>
      </c>
      <c r="H28" s="19" t="str" cm="1">
        <f t="array" ref="H28">IF(C28&lt;&gt;0,H27+(SIN(RADIANS(IF(A28=1, hmstohdd(B28), IF(A28=2, 180-hmstohdd(B28), IF(A28=3, 180+hmstohdd(B28), IF(A28=4, 360-hmstohdd(B28), ""))))))*C28),"")</f>
        <v/>
      </c>
      <c r="I28" s="10" t="str" cm="1">
        <f t="array" ref="I28">IF(D28&lt;&gt;0,IF(D28&lt;0,-(D28^2/2*(RADIANS(hmstohdd(F28))-SIN(RADIANS(hmstohdd(F28))))),D28^2/2*(RADIANS(hmstohdd(F28))-SIN(RADIANS(hmstohdd(F28))))),"")</f>
        <v/>
      </c>
    </row>
    <row r="29" spans="1:9" x14ac:dyDescent="0.25">
      <c r="A29" s="14"/>
      <c r="B29" s="15"/>
      <c r="C29" s="16"/>
      <c r="D29" s="16"/>
      <c r="E29" s="17"/>
      <c r="F29" s="18"/>
      <c r="G29" s="19" t="str" cm="1">
        <f t="array" ref="G29">IF(C29&lt;&gt;0,G28+(COS(RADIANS(IF(A29=1, hmstohdd(B29), IF(A29=2, 180-hmstohdd(B29), IF(A29=3, 180+hmstohdd(B29), IF(A29=4, 360-hmstohdd(B29), ""))))))*C29),"")</f>
        <v/>
      </c>
      <c r="H29" s="19" t="str" cm="1">
        <f t="array" ref="H29">IF(C29&lt;&gt;0,H28+(SIN(RADIANS(IF(A29=1, hmstohdd(B29), IF(A29=2, 180-hmstohdd(B29), IF(A29=3, 180+hmstohdd(B29), IF(A29=4, 360-hmstohdd(B29), ""))))))*C29),"")</f>
        <v/>
      </c>
      <c r="I29" s="10" t="str" cm="1">
        <f t="array" ref="I29">IF(D29&lt;&gt;0,IF(D29&lt;0,-(D29^2/2*(RADIANS(hmstohdd(F29))-SIN(RADIANS(hmstohdd(F29))))),D29^2/2*(RADIANS(hmstohdd(F29))-SIN(RADIANS(hmstohdd(F29))))),"")</f>
        <v/>
      </c>
    </row>
    <row r="30" spans="1:9" x14ac:dyDescent="0.25">
      <c r="A30" s="14"/>
      <c r="B30" s="15"/>
      <c r="C30" s="16"/>
      <c r="D30" s="16"/>
      <c r="E30" s="17"/>
      <c r="F30" s="18"/>
      <c r="G30" s="19" t="str" cm="1">
        <f t="array" ref="G30">IF(C30&lt;&gt;0,G29+(COS(RADIANS(IF(A30=1, hmstohdd(B30), IF(A30=2, 180-hmstohdd(B30), IF(A30=3, 180+hmstohdd(B30), IF(A30=4, 360-hmstohdd(B30), ""))))))*C30),"")</f>
        <v/>
      </c>
      <c r="H30" s="19" t="str" cm="1">
        <f t="array" ref="H30">IF(C30&lt;&gt;0,H29+(SIN(RADIANS(IF(A30=1, hmstohdd(B30), IF(A30=2, 180-hmstohdd(B30), IF(A30=3, 180+hmstohdd(B30), IF(A30=4, 360-hmstohdd(B30), ""))))))*C30),"")</f>
        <v/>
      </c>
      <c r="I30" s="10" t="str" cm="1">
        <f t="array" ref="I30">IF(D30&lt;&gt;0,IF(D30&lt;0,-(D30^2/2*(RADIANS(hmstohdd(F30))-SIN(RADIANS(hmstohdd(F30))))),D30^2/2*(RADIANS(hmstohdd(F30))-SIN(RADIANS(hmstohdd(F30))))),"")</f>
        <v/>
      </c>
    </row>
    <row r="31" spans="1:9" x14ac:dyDescent="0.25">
      <c r="A31" s="14"/>
      <c r="B31" s="15"/>
      <c r="C31" s="16"/>
      <c r="D31" s="16"/>
      <c r="E31" s="17"/>
      <c r="F31" s="18"/>
      <c r="G31" s="19" t="str" cm="1">
        <f t="array" ref="G31">IF(C31&lt;&gt;0,G30+(COS(RADIANS(IF(A31=1, hmstohdd(B31), IF(A31=2, 180-hmstohdd(B31), IF(A31=3, 180+hmstohdd(B31), IF(A31=4, 360-hmstohdd(B31), ""))))))*C31),"")</f>
        <v/>
      </c>
      <c r="H31" s="19" t="str" cm="1">
        <f t="array" ref="H31">IF(C31&lt;&gt;0,H30+(SIN(RADIANS(IF(A31=1, hmstohdd(B31), IF(A31=2, 180-hmstohdd(B31), IF(A31=3, 180+hmstohdd(B31), IF(A31=4, 360-hmstohdd(B31), ""))))))*C31),"")</f>
        <v/>
      </c>
      <c r="I31" s="10" t="str" cm="1">
        <f t="array" ref="I31">IF(D31&lt;&gt;0,IF(D31&lt;0,-(D31^2/2*(RADIANS(hmstohdd(F31))-SIN(RADIANS(hmstohdd(F31))))),D31^2/2*(RADIANS(hmstohdd(F31))-SIN(RADIANS(hmstohdd(F31))))),"")</f>
        <v/>
      </c>
    </row>
    <row r="32" spans="1:9" x14ac:dyDescent="0.25">
      <c r="A32" s="14"/>
      <c r="B32" s="15"/>
      <c r="C32" s="16"/>
      <c r="D32" s="16"/>
      <c r="E32" s="17"/>
      <c r="F32" s="18"/>
      <c r="G32" s="19" t="str" cm="1">
        <f t="array" ref="G32">IF(C32&lt;&gt;0,G31+(COS(RADIANS(IF(A32=1, hmstohdd(B32), IF(A32=2, 180-hmstohdd(B32), IF(A32=3, 180+hmstohdd(B32), IF(A32=4, 360-hmstohdd(B32), ""))))))*C32),"")</f>
        <v/>
      </c>
      <c r="H32" s="19" t="str" cm="1">
        <f t="array" ref="H32">IF(C32&lt;&gt;0,H31+(SIN(RADIANS(IF(A32=1, hmstohdd(B32), IF(A32=2, 180-hmstohdd(B32), IF(A32=3, 180+hmstohdd(B32), IF(A32=4, 360-hmstohdd(B32), ""))))))*C32),"")</f>
        <v/>
      </c>
      <c r="I32" s="10" t="str" cm="1">
        <f t="array" ref="I32">IF(D32&lt;&gt;0,IF(D32&lt;0,-(D32^2/2*(RADIANS(hmstohdd(F32))-SIN(RADIANS(hmstohdd(F32))))),D32^2/2*(RADIANS(hmstohdd(F32))-SIN(RADIANS(hmstohdd(F32))))),"")</f>
        <v/>
      </c>
    </row>
    <row r="33" spans="1:9" x14ac:dyDescent="0.25">
      <c r="A33" s="14"/>
      <c r="B33" s="15"/>
      <c r="C33" s="16"/>
      <c r="D33" s="16"/>
      <c r="E33" s="17"/>
      <c r="F33" s="18"/>
      <c r="G33" s="19" t="str" cm="1">
        <f t="array" ref="G33">IF(C33&lt;&gt;0,G32+(COS(RADIANS(IF(A33=1, hmstohdd(B33), IF(A33=2, 180-hmstohdd(B33), IF(A33=3, 180+hmstohdd(B33), IF(A33=4, 360-hmstohdd(B33), ""))))))*C33),"")</f>
        <v/>
      </c>
      <c r="H33" s="19" t="str" cm="1">
        <f t="array" ref="H33">IF(C33&lt;&gt;0,H32+(SIN(RADIANS(IF(A33=1, hmstohdd(B33), IF(A33=2, 180-hmstohdd(B33), IF(A33=3, 180+hmstohdd(B33), IF(A33=4, 360-hmstohdd(B33), ""))))))*C33),"")</f>
        <v/>
      </c>
      <c r="I33" s="10" t="str" cm="1">
        <f t="array" ref="I33">IF(D33&lt;&gt;0,IF(D33&lt;0,-(D33^2/2*(RADIANS(hmstohdd(F33))-SIN(RADIANS(hmstohdd(F33))))),D33^2/2*(RADIANS(hmstohdd(F33))-SIN(RADIANS(hmstohdd(F33))))),"")</f>
        <v/>
      </c>
    </row>
    <row r="34" spans="1:9" x14ac:dyDescent="0.25">
      <c r="A34" s="14"/>
      <c r="B34" s="15"/>
      <c r="C34" s="16"/>
      <c r="D34" s="16"/>
      <c r="E34" s="17"/>
      <c r="F34" s="18"/>
      <c r="G34" s="19" t="str" cm="1">
        <f t="array" ref="G34">IF(C34&lt;&gt;0,G33+(COS(RADIANS(IF(A34=1, hmstohdd(B34), IF(A34=2, 180-hmstohdd(B34), IF(A34=3, 180+hmstohdd(B34), IF(A34=4, 360-hmstohdd(B34), ""))))))*C34),"")</f>
        <v/>
      </c>
      <c r="H34" s="19" t="str" cm="1">
        <f t="array" ref="H34">IF(C34&lt;&gt;0,H33+(SIN(RADIANS(IF(A34=1, hmstohdd(B34), IF(A34=2, 180-hmstohdd(B34), IF(A34=3, 180+hmstohdd(B34), IF(A34=4, 360-hmstohdd(B34), ""))))))*C34),"")</f>
        <v/>
      </c>
      <c r="I34" s="10" t="str" cm="1">
        <f t="array" ref="I34">IF(D34&lt;&gt;0,IF(D34&lt;0,-(D34^2/2*(RADIANS(hmstohdd(F34))-SIN(RADIANS(hmstohdd(F34))))),D34^2/2*(RADIANS(hmstohdd(F34))-SIN(RADIANS(hmstohdd(F34))))),"")</f>
        <v/>
      </c>
    </row>
    <row r="35" spans="1:9" x14ac:dyDescent="0.25">
      <c r="A35" s="14"/>
      <c r="B35" s="15"/>
      <c r="C35" s="16"/>
      <c r="D35" s="16"/>
      <c r="E35" s="17"/>
      <c r="F35" s="18"/>
      <c r="G35" s="19" t="str" cm="1">
        <f t="array" ref="G35">IF(C35&lt;&gt;0,G34+(COS(RADIANS(IF(A35=1, hmstohdd(B35), IF(A35=2, 180-hmstohdd(B35), IF(A35=3, 180+hmstohdd(B35), IF(A35=4, 360-hmstohdd(B35), ""))))))*C35),"")</f>
        <v/>
      </c>
      <c r="H35" s="19" t="str" cm="1">
        <f t="array" ref="H35">IF(C35&lt;&gt;0,H34+(SIN(RADIANS(IF(A35=1, hmstohdd(B35), IF(A35=2, 180-hmstohdd(B35), IF(A35=3, 180+hmstohdd(B35), IF(A35=4, 360-hmstohdd(B35), ""))))))*C35),"")</f>
        <v/>
      </c>
      <c r="I35" s="10" t="str" cm="1">
        <f t="array" ref="I35">IF(D35&lt;&gt;0,IF(D35&lt;0,-(D35^2/2*(RADIANS(hmstohdd(F35))-SIN(RADIANS(hmstohdd(F35))))),D35^2/2*(RADIANS(hmstohdd(F35))-SIN(RADIANS(hmstohdd(F35))))),"")</f>
        <v/>
      </c>
    </row>
    <row r="36" spans="1:9" x14ac:dyDescent="0.25">
      <c r="A36" s="14"/>
      <c r="B36" s="15"/>
      <c r="C36" s="16"/>
      <c r="D36" s="16"/>
      <c r="E36" s="17"/>
      <c r="F36" s="18"/>
      <c r="G36" s="19" t="str" cm="1">
        <f t="array" ref="G36">IF(C36&lt;&gt;0,G35+(COS(RADIANS(IF(A36=1, hmstohdd(B36), IF(A36=2, 180-hmstohdd(B36), IF(A36=3, 180+hmstohdd(B36), IF(A36=4, 360-hmstohdd(B36), ""))))))*C36),"")</f>
        <v/>
      </c>
      <c r="H36" s="19" t="str" cm="1">
        <f t="array" ref="H36">IF(C36&lt;&gt;0,H35+(SIN(RADIANS(IF(A36=1, hmstohdd(B36), IF(A36=2, 180-hmstohdd(B36), IF(A36=3, 180+hmstohdd(B36), IF(A36=4, 360-hmstohdd(B36), ""))))))*C36),"")</f>
        <v/>
      </c>
      <c r="I36" s="10" t="str" cm="1">
        <f t="array" ref="I36">IF(D36&lt;&gt;0,IF(D36&lt;0,-(D36^2/2*(RADIANS(hmstohdd(F36))-SIN(RADIANS(hmstohdd(F36))))),D36^2/2*(RADIANS(hmstohdd(F36))-SIN(RADIANS(hmstohdd(F36))))),"")</f>
        <v/>
      </c>
    </row>
    <row r="37" spans="1:9" x14ac:dyDescent="0.25">
      <c r="A37" s="14"/>
      <c r="B37" s="15"/>
      <c r="C37" s="16"/>
      <c r="D37" s="16"/>
      <c r="E37" s="17"/>
      <c r="F37" s="18"/>
      <c r="G37" s="19" t="str" cm="1">
        <f t="array" ref="G37">IF(C37&lt;&gt;0,G36+(COS(RADIANS(IF(A37=1, hmstohdd(B37), IF(A37=2, 180-hmstohdd(B37), IF(A37=3, 180+hmstohdd(B37), IF(A37=4, 360-hmstohdd(B37), ""))))))*C37),"")</f>
        <v/>
      </c>
      <c r="H37" s="19" t="str" cm="1">
        <f t="array" ref="H37">IF(C37&lt;&gt;0,H36+(SIN(RADIANS(IF(A37=1, hmstohdd(B37), IF(A37=2, 180-hmstohdd(B37), IF(A37=3, 180+hmstohdd(B37), IF(A37=4, 360-hmstohdd(B37), ""))))))*C37),"")</f>
        <v/>
      </c>
      <c r="I37" s="10" t="str" cm="1">
        <f t="array" ref="I37">IF(D37&lt;&gt;0,IF(D37&lt;0,-(D37^2/2*(RADIANS(hmstohdd(F37))-SIN(RADIANS(hmstohdd(F37))))),D37^2/2*(RADIANS(hmstohdd(F37))-SIN(RADIANS(hmstohdd(F37))))),"")</f>
        <v/>
      </c>
    </row>
    <row r="38" spans="1:9" x14ac:dyDescent="0.25">
      <c r="A38" s="14"/>
      <c r="B38" s="15"/>
      <c r="C38" s="16"/>
      <c r="D38" s="16"/>
      <c r="E38" s="17"/>
      <c r="F38" s="18"/>
      <c r="G38" s="19" t="str" cm="1">
        <f t="array" ref="G38">IF(C38&lt;&gt;0,G37+(COS(RADIANS(IF(A38=1, hmstohdd(B38), IF(A38=2, 180-hmstohdd(B38), IF(A38=3, 180+hmstohdd(B38), IF(A38=4, 360-hmstohdd(B38), ""))))))*C38),"")</f>
        <v/>
      </c>
      <c r="H38" s="19" t="str" cm="1">
        <f t="array" ref="H38">IF(C38&lt;&gt;0,H37+(SIN(RADIANS(IF(A38=1, hmstohdd(B38), IF(A38=2, 180-hmstohdd(B38), IF(A38=3, 180+hmstohdd(B38), IF(A38=4, 360-hmstohdd(B38), ""))))))*C38),"")</f>
        <v/>
      </c>
      <c r="I38" s="10" t="str" cm="1">
        <f t="array" ref="I38">IF(D38&lt;&gt;0,IF(D38&lt;0,-(D38^2/2*(RADIANS(hmstohdd(F38))-SIN(RADIANS(hmstohdd(F38))))),D38^2/2*(RADIANS(hmstohdd(F38))-SIN(RADIANS(hmstohdd(F38))))),"")</f>
        <v/>
      </c>
    </row>
    <row r="39" spans="1:9" x14ac:dyDescent="0.25">
      <c r="A39" s="14"/>
      <c r="B39" s="15"/>
      <c r="C39" s="16"/>
      <c r="D39" s="16"/>
      <c r="E39" s="17"/>
      <c r="F39" s="18"/>
      <c r="G39" s="19" t="str" cm="1">
        <f t="array" ref="G39">IF(C39&lt;&gt;0,G38+(COS(RADIANS(IF(A39=1, hmstohdd(B39), IF(A39=2, 180-hmstohdd(B39), IF(A39=3, 180+hmstohdd(B39), IF(A39=4, 360-hmstohdd(B39), ""))))))*C39),"")</f>
        <v/>
      </c>
      <c r="H39" s="19" t="str" cm="1">
        <f t="array" ref="H39">IF(C39&lt;&gt;0,H38+(SIN(RADIANS(IF(A39=1, hmstohdd(B39), IF(A39=2, 180-hmstohdd(B39), IF(A39=3, 180+hmstohdd(B39), IF(A39=4, 360-hmstohdd(B39), ""))))))*C39),"")</f>
        <v/>
      </c>
      <c r="I39" s="10" t="str" cm="1">
        <f t="array" ref="I39">IF(D39&lt;&gt;0,IF(D39&lt;0,-(D39^2/2*(RADIANS(hmstohdd(F39))-SIN(RADIANS(hmstohdd(F39))))),D39^2/2*(RADIANS(hmstohdd(F39))-SIN(RADIANS(hmstohdd(F39))))),"")</f>
        <v/>
      </c>
    </row>
    <row r="40" spans="1:9" x14ac:dyDescent="0.25">
      <c r="A40" s="14"/>
      <c r="B40" s="15"/>
      <c r="C40" s="16"/>
      <c r="D40" s="16"/>
      <c r="E40" s="17"/>
      <c r="F40" s="18"/>
      <c r="G40" s="19" t="str" cm="1">
        <f t="array" ref="G40">IF(C40&lt;&gt;0,G39+(COS(RADIANS(IF(A40=1, hmstohdd(B40), IF(A40=2, 180-hmstohdd(B40), IF(A40=3, 180+hmstohdd(B40), IF(A40=4, 360-hmstohdd(B40), ""))))))*C40),"")</f>
        <v/>
      </c>
      <c r="H40" s="19" t="str" cm="1">
        <f t="array" ref="H40">IF(C40&lt;&gt;0,H39+(SIN(RADIANS(IF(A40=1, hmstohdd(B40), IF(A40=2, 180-hmstohdd(B40), IF(A40=3, 180+hmstohdd(B40), IF(A40=4, 360-hmstohdd(B40), ""))))))*C40),"")</f>
        <v/>
      </c>
      <c r="I40" s="10" t="str" cm="1">
        <f t="array" ref="I40">IF(D40&lt;&gt;0,IF(D40&lt;0,-(D40^2/2*(RADIANS(hmstohdd(F40))-SIN(RADIANS(hmstohdd(F40))))),D40^2/2*(RADIANS(hmstohdd(F40))-SIN(RADIANS(hmstohdd(F40))))),"")</f>
        <v/>
      </c>
    </row>
    <row r="41" spans="1:9" x14ac:dyDescent="0.25">
      <c r="A41" s="14"/>
      <c r="B41" s="15"/>
      <c r="C41" s="16"/>
      <c r="D41" s="16"/>
      <c r="E41" s="17"/>
      <c r="F41" s="18"/>
      <c r="G41" s="19" t="str" cm="1">
        <f t="array" ref="G41">IF(C41&lt;&gt;0,G40+(COS(RADIANS(IF(A41=1, hmstohdd(B41), IF(A41=2, 180-hmstohdd(B41), IF(A41=3, 180+hmstohdd(B41), IF(A41=4, 360-hmstohdd(B41), ""))))))*C41),"")</f>
        <v/>
      </c>
      <c r="H41" s="19" t="str" cm="1">
        <f t="array" ref="H41">IF(C41&lt;&gt;0,H40+(SIN(RADIANS(IF(A41=1, hmstohdd(B41), IF(A41=2, 180-hmstohdd(B41), IF(A41=3, 180+hmstohdd(B41), IF(A41=4, 360-hmstohdd(B41), ""))))))*C41),"")</f>
        <v/>
      </c>
      <c r="I41" s="10" t="str" cm="1">
        <f t="array" ref="I41">IF(D41&lt;&gt;0,IF(D41&lt;0,-(D41^2/2*(RADIANS(hmstohdd(F41))-SIN(RADIANS(hmstohdd(F41))))),D41^2/2*(RADIANS(hmstohdd(F41))-SIN(RADIANS(hmstohdd(F41))))),"")</f>
        <v/>
      </c>
    </row>
    <row r="42" spans="1:9" x14ac:dyDescent="0.25">
      <c r="A42" s="14"/>
      <c r="B42" s="15"/>
      <c r="C42" s="16"/>
      <c r="D42" s="16"/>
      <c r="E42" s="17"/>
      <c r="F42" s="18"/>
      <c r="G42" s="19" t="str" cm="1">
        <f t="array" ref="G42">IF(C42&lt;&gt;0,G41+(COS(RADIANS(IF(A42=1, hmstohdd(B42), IF(A42=2, 180-hmstohdd(B42), IF(A42=3, 180+hmstohdd(B42), IF(A42=4, 360-hmstohdd(B42), ""))))))*C42),"")</f>
        <v/>
      </c>
      <c r="H42" s="19" t="str" cm="1">
        <f t="array" ref="H42">IF(C42&lt;&gt;0,H41+(SIN(RADIANS(IF(A42=1, hmstohdd(B42), IF(A42=2, 180-hmstohdd(B42), IF(A42=3, 180+hmstohdd(B42), IF(A42=4, 360-hmstohdd(B42), ""))))))*C42),"")</f>
        <v/>
      </c>
      <c r="I42" s="10" t="str" cm="1">
        <f t="array" ref="I42">IF(D42&lt;&gt;0,IF(D42&lt;0,-(D42^2/2*(RADIANS(hmstohdd(F42))-SIN(RADIANS(hmstohdd(F42))))),D42^2/2*(RADIANS(hmstohdd(F42))-SIN(RADIANS(hmstohdd(F42))))),"")</f>
        <v/>
      </c>
    </row>
    <row r="43" spans="1:9" x14ac:dyDescent="0.25">
      <c r="A43" s="14"/>
      <c r="B43" s="15"/>
      <c r="C43" s="16"/>
      <c r="D43" s="16"/>
      <c r="E43" s="17"/>
      <c r="F43" s="18"/>
      <c r="G43" s="19" t="str" cm="1">
        <f t="array" ref="G43">IF(C43&lt;&gt;0,G42+(COS(RADIANS(IF(A43=1, hmstohdd(B43), IF(A43=2, 180-hmstohdd(B43), IF(A43=3, 180+hmstohdd(B43), IF(A43=4, 360-hmstohdd(B43), ""))))))*C43),"")</f>
        <v/>
      </c>
      <c r="H43" s="19" t="str" cm="1">
        <f t="array" ref="H43">IF(C43&lt;&gt;0,H42+(SIN(RADIANS(IF(A43=1, hmstohdd(B43), IF(A43=2, 180-hmstohdd(B43), IF(A43=3, 180+hmstohdd(B43), IF(A43=4, 360-hmstohdd(B43), ""))))))*C43),"")</f>
        <v/>
      </c>
      <c r="I43" s="10" t="str" cm="1">
        <f t="array" ref="I43">IF(D43&lt;&gt;0,IF(D43&lt;0,-(D43^2/2*(RADIANS(hmstohdd(F43))-SIN(RADIANS(hmstohdd(F43))))),D43^2/2*(RADIANS(hmstohdd(F43))-SIN(RADIANS(hmstohdd(F43))))),"")</f>
        <v/>
      </c>
    </row>
    <row r="44" spans="1:9" x14ac:dyDescent="0.25">
      <c r="A44" s="14"/>
      <c r="B44" s="15"/>
      <c r="C44" s="16"/>
      <c r="D44" s="16"/>
      <c r="E44" s="17"/>
      <c r="F44" s="18"/>
      <c r="G44" s="19" t="str" cm="1">
        <f t="array" ref="G44">IF(C44&lt;&gt;0,G43+(COS(RADIANS(IF(A44=1, hmstohdd(B44), IF(A44=2, 180-hmstohdd(B44), IF(A44=3, 180+hmstohdd(B44), IF(A44=4, 360-hmstohdd(B44), ""))))))*C44),"")</f>
        <v/>
      </c>
      <c r="H44" s="19" t="str" cm="1">
        <f t="array" ref="H44">IF(C44&lt;&gt;0,H43+(SIN(RADIANS(IF(A44=1, hmstohdd(B44), IF(A44=2, 180-hmstohdd(B44), IF(A44=3, 180+hmstohdd(B44), IF(A44=4, 360-hmstohdd(B44), ""))))))*C44),"")</f>
        <v/>
      </c>
      <c r="I44" s="10" t="str" cm="1">
        <f t="array" ref="I44">IF(D44&lt;&gt;0,IF(D44&lt;0,-(D44^2/2*(RADIANS(hmstohdd(F44))-SIN(RADIANS(hmstohdd(F44))))),D44^2/2*(RADIANS(hmstohdd(F44))-SIN(RADIANS(hmstohdd(F44))))),"")</f>
        <v/>
      </c>
    </row>
    <row r="45" spans="1:9" x14ac:dyDescent="0.25">
      <c r="A45" s="14"/>
      <c r="B45" s="15"/>
      <c r="C45" s="16"/>
      <c r="D45" s="16"/>
      <c r="E45" s="17"/>
      <c r="F45" s="18"/>
      <c r="G45" s="19" t="str" cm="1">
        <f t="array" ref="G45">IF(C45&lt;&gt;0,G44+(COS(RADIANS(IF(A45=1, hmstohdd(B45), IF(A45=2, 180-hmstohdd(B45), IF(A45=3, 180+hmstohdd(B45), IF(A45=4, 360-hmstohdd(B45), ""))))))*C45),"")</f>
        <v/>
      </c>
      <c r="H45" s="19" t="str" cm="1">
        <f t="array" ref="H45">IF(C45&lt;&gt;0,H44+(SIN(RADIANS(IF(A45=1, hmstohdd(B45), IF(A45=2, 180-hmstohdd(B45), IF(A45=3, 180+hmstohdd(B45), IF(A45=4, 360-hmstohdd(B45), ""))))))*C45),"")</f>
        <v/>
      </c>
      <c r="I45" s="10" t="str" cm="1">
        <f t="array" ref="I45">IF(D45&lt;&gt;0,IF(D45&lt;0,-(D45^2/2*(RADIANS(hmstohdd(F45))-SIN(RADIANS(hmstohdd(F45))))),D45^2/2*(RADIANS(hmstohdd(F45))-SIN(RADIANS(hmstohdd(F45))))),"")</f>
        <v/>
      </c>
    </row>
    <row r="46" spans="1:9" x14ac:dyDescent="0.25">
      <c r="A46" s="14"/>
      <c r="B46" s="15"/>
      <c r="C46" s="16"/>
      <c r="D46" s="16"/>
      <c r="E46" s="17"/>
      <c r="F46" s="18"/>
      <c r="G46" s="19" t="str" cm="1">
        <f t="array" ref="G46">IF(C46&lt;&gt;0,G45+(COS(RADIANS(IF(A46=1, hmstohdd(B46), IF(A46=2, 180-hmstohdd(B46), IF(A46=3, 180+hmstohdd(B46), IF(A46=4, 360-hmstohdd(B46), ""))))))*C46),"")</f>
        <v/>
      </c>
      <c r="H46" s="19" t="str" cm="1">
        <f t="array" ref="H46">IF(C46&lt;&gt;0,H45+(SIN(RADIANS(IF(A46=1, hmstohdd(B46), IF(A46=2, 180-hmstohdd(B46), IF(A46=3, 180+hmstohdd(B46), IF(A46=4, 360-hmstohdd(B46), ""))))))*C46),"")</f>
        <v/>
      </c>
      <c r="I46" s="10" t="str" cm="1">
        <f t="array" ref="I46">IF(D46&lt;&gt;0,IF(D46&lt;0,-(D46^2/2*(RADIANS(hmstohdd(F46))-SIN(RADIANS(hmstohdd(F46))))),D46^2/2*(RADIANS(hmstohdd(F46))-SIN(RADIANS(hmstohdd(F46))))),"")</f>
        <v/>
      </c>
    </row>
    <row r="47" spans="1:9" x14ac:dyDescent="0.25">
      <c r="A47" s="14"/>
      <c r="B47" s="15"/>
      <c r="C47" s="16"/>
      <c r="D47" s="16"/>
      <c r="E47" s="17"/>
      <c r="F47" s="18"/>
      <c r="G47" s="19" t="str" cm="1">
        <f t="array" ref="G47">IF(C47&lt;&gt;0,G46+(COS(RADIANS(IF(A47=1, hmstohdd(B47), IF(A47=2, 180-hmstohdd(B47), IF(A47=3, 180+hmstohdd(B47), IF(A47=4, 360-hmstohdd(B47), ""))))))*C47),"")</f>
        <v/>
      </c>
      <c r="H47" s="19" t="str" cm="1">
        <f t="array" ref="H47">IF(C47&lt;&gt;0,H46+(SIN(RADIANS(IF(A47=1, hmstohdd(B47), IF(A47=2, 180-hmstohdd(B47), IF(A47=3, 180+hmstohdd(B47), IF(A47=4, 360-hmstohdd(B47), ""))))))*C47),"")</f>
        <v/>
      </c>
      <c r="I47" s="10" t="str" cm="1">
        <f t="array" ref="I47">IF(D47&lt;&gt;0,IF(D47&lt;0,-(D47^2/2*(RADIANS(hmstohdd(F47))-SIN(RADIANS(hmstohdd(F47))))),D47^2/2*(RADIANS(hmstohdd(F47))-SIN(RADIANS(hmstohdd(F47))))),"")</f>
        <v/>
      </c>
    </row>
    <row r="48" spans="1:9" x14ac:dyDescent="0.25">
      <c r="A48" s="14"/>
      <c r="B48" s="15"/>
      <c r="C48" s="16"/>
      <c r="D48" s="16"/>
      <c r="E48" s="17"/>
      <c r="F48" s="18"/>
      <c r="G48" s="19" t="str" cm="1">
        <f t="array" ref="G48">IF(C48&lt;&gt;0,G47+(COS(RADIANS(IF(A48=1, hmstohdd(B48), IF(A48=2, 180-hmstohdd(B48), IF(A48=3, 180+hmstohdd(B48), IF(A48=4, 360-hmstohdd(B48), ""))))))*C48),"")</f>
        <v/>
      </c>
      <c r="H48" s="19" t="str" cm="1">
        <f t="array" ref="H48">IF(C48&lt;&gt;0,H47+(SIN(RADIANS(IF(A48=1, hmstohdd(B48), IF(A48=2, 180-hmstohdd(B48), IF(A48=3, 180+hmstohdd(B48), IF(A48=4, 360-hmstohdd(B48), ""))))))*C48),"")</f>
        <v/>
      </c>
      <c r="I48" s="10" t="str" cm="1">
        <f t="array" ref="I48">IF(D48&lt;&gt;0,IF(D48&lt;0,-(D48^2/2*(RADIANS(hmstohdd(F48))-SIN(RADIANS(hmstohdd(F48))))),D48^2/2*(RADIANS(hmstohdd(F48))-SIN(RADIANS(hmstohdd(F48))))),"")</f>
        <v/>
      </c>
    </row>
    <row r="49" spans="1:9" x14ac:dyDescent="0.25">
      <c r="A49" s="14"/>
      <c r="B49" s="15"/>
      <c r="C49" s="16"/>
      <c r="D49" s="16"/>
      <c r="E49" s="17"/>
      <c r="F49" s="18"/>
      <c r="G49" s="19" t="str" cm="1">
        <f t="array" ref="G49">IF(C49&lt;&gt;0,G48+(COS(RADIANS(IF(A49=1, hmstohdd(B49), IF(A49=2, 180-hmstohdd(B49), IF(A49=3, 180+hmstohdd(B49), IF(A49=4, 360-hmstohdd(B49), ""))))))*C49),"")</f>
        <v/>
      </c>
      <c r="H49" s="19" t="str" cm="1">
        <f t="array" ref="H49">IF(C49&lt;&gt;0,H48+(SIN(RADIANS(IF(A49=1, hmstohdd(B49), IF(A49=2, 180-hmstohdd(B49), IF(A49=3, 180+hmstohdd(B49), IF(A49=4, 360-hmstohdd(B49), ""))))))*C49),"")</f>
        <v/>
      </c>
      <c r="I49" s="10" t="str" cm="1">
        <f t="array" ref="I49">IF(D49&lt;&gt;0,IF(D49&lt;0,-(D49^2/2*(RADIANS(hmstohdd(F49))-SIN(RADIANS(hmstohdd(F49))))),D49^2/2*(RADIANS(hmstohdd(F49))-SIN(RADIANS(hmstohdd(F49))))),"")</f>
        <v/>
      </c>
    </row>
    <row r="50" spans="1:9" x14ac:dyDescent="0.25">
      <c r="A50" s="14"/>
      <c r="B50" s="15"/>
      <c r="C50" s="16"/>
      <c r="D50" s="16"/>
      <c r="E50" s="17"/>
      <c r="F50" s="18"/>
      <c r="G50" s="19" t="str" cm="1">
        <f t="array" ref="G50">IF(C50&lt;&gt;0,G49+(COS(RADIANS(IF(A50=1, hmstohdd(B50), IF(A50=2, 180-hmstohdd(B50), IF(A50=3, 180+hmstohdd(B50), IF(A50=4, 360-hmstohdd(B50), ""))))))*C50),"")</f>
        <v/>
      </c>
      <c r="H50" s="19" t="str" cm="1">
        <f t="array" ref="H50">IF(C50&lt;&gt;0,H49+(SIN(RADIANS(IF(A50=1, hmstohdd(B50), IF(A50=2, 180-hmstohdd(B50), IF(A50=3, 180+hmstohdd(B50), IF(A50=4, 360-hmstohdd(B50), ""))))))*C50),"")</f>
        <v/>
      </c>
      <c r="I50" s="10" t="str" cm="1">
        <f t="array" ref="I50">IF(D50&lt;&gt;0,IF(D50&lt;0,-(D50^2/2*(RADIANS(hmstohdd(F50))-SIN(RADIANS(hmstohdd(F50))))),D50^2/2*(RADIANS(hmstohdd(F50))-SIN(RADIANS(hmstohdd(F50))))),"")</f>
        <v/>
      </c>
    </row>
    <row r="51" spans="1:9" x14ac:dyDescent="0.25">
      <c r="A51" s="14"/>
      <c r="B51" s="15"/>
      <c r="C51" s="16"/>
      <c r="D51" s="16"/>
      <c r="E51" s="17"/>
      <c r="F51" s="18"/>
      <c r="G51" s="19" t="str" cm="1">
        <f t="array" ref="G51">IF(C51&lt;&gt;0,G50+(COS(RADIANS(IF(A51=1, hmstohdd(B51), IF(A51=2, 180-hmstohdd(B51), IF(A51=3, 180+hmstohdd(B51), IF(A51=4, 360-hmstohdd(B51), ""))))))*C51),"")</f>
        <v/>
      </c>
      <c r="H51" s="19" t="str" cm="1">
        <f t="array" ref="H51">IF(C51&lt;&gt;0,H50+(SIN(RADIANS(IF(A51=1, hmstohdd(B51), IF(A51=2, 180-hmstohdd(B51), IF(A51=3, 180+hmstohdd(B51), IF(A51=4, 360-hmstohdd(B51), ""))))))*C51),"")</f>
        <v/>
      </c>
      <c r="I51" s="10" t="str" cm="1">
        <f t="array" ref="I51">IF(D51&lt;&gt;0,IF(D51&lt;0,-(D51^2/2*(RADIANS(hmstohdd(F51))-SIN(RADIANS(hmstohdd(F51))))),D51^2/2*(RADIANS(hmstohdd(F51))-SIN(RADIANS(hmstohdd(F51))))),"")</f>
        <v/>
      </c>
    </row>
    <row r="52" spans="1:9" x14ac:dyDescent="0.25">
      <c r="A52" s="14"/>
      <c r="B52" s="15"/>
      <c r="C52" s="16"/>
      <c r="D52" s="16"/>
      <c r="E52" s="17"/>
      <c r="F52" s="18"/>
      <c r="G52" s="19" t="str" cm="1">
        <f t="array" ref="G52">IF(C52&lt;&gt;0,G51+(COS(RADIANS(IF(A52=1, hmstohdd(B52), IF(A52=2, 180-hmstohdd(B52), IF(A52=3, 180+hmstohdd(B52), IF(A52=4, 360-hmstohdd(B52), ""))))))*C52),"")</f>
        <v/>
      </c>
      <c r="H52" s="19" t="str" cm="1">
        <f t="array" ref="H52">IF(C52&lt;&gt;0,H51+(SIN(RADIANS(IF(A52=1, hmstohdd(B52), IF(A52=2, 180-hmstohdd(B52), IF(A52=3, 180+hmstohdd(B52), IF(A52=4, 360-hmstohdd(B52), ""))))))*C52),"")</f>
        <v/>
      </c>
      <c r="I52" s="10" t="str" cm="1">
        <f t="array" ref="I52">IF(D52&lt;&gt;0,IF(D52&lt;0,-(D52^2/2*(RADIANS(hmstohdd(F52))-SIN(RADIANS(hmstohdd(F52))))),D52^2/2*(RADIANS(hmstohdd(F52))-SIN(RADIANS(hmstohdd(F52))))),"")</f>
        <v/>
      </c>
    </row>
    <row r="53" spans="1:9" x14ac:dyDescent="0.25">
      <c r="A53" s="14"/>
      <c r="B53" s="15"/>
      <c r="C53" s="16"/>
      <c r="D53" s="16"/>
      <c r="E53" s="17"/>
      <c r="F53" s="18"/>
      <c r="G53" s="19" t="str" cm="1">
        <f t="array" ref="G53">IF(C53&lt;&gt;0,G52+(COS(RADIANS(IF(A53=1, hmstohdd(B53), IF(A53=2, 180-hmstohdd(B53), IF(A53=3, 180+hmstohdd(B53), IF(A53=4, 360-hmstohdd(B53), ""))))))*C53),"")</f>
        <v/>
      </c>
      <c r="H53" s="19" t="str" cm="1">
        <f t="array" ref="H53">IF(C53&lt;&gt;0,H52+(SIN(RADIANS(IF(A53=1, hmstohdd(B53), IF(A53=2, 180-hmstohdd(B53), IF(A53=3, 180+hmstohdd(B53), IF(A53=4, 360-hmstohdd(B53), ""))))))*C53),"")</f>
        <v/>
      </c>
      <c r="I53" s="10" t="str" cm="1">
        <f t="array" ref="I53">IF(D53&lt;&gt;0,IF(D53&lt;0,-(D53^2/2*(RADIANS(hmstohdd(F53))-SIN(RADIANS(hmstohdd(F53))))),D53^2/2*(RADIANS(hmstohdd(F53))-SIN(RADIANS(hmstohdd(F53))))),"")</f>
        <v/>
      </c>
    </row>
    <row r="54" spans="1:9" x14ac:dyDescent="0.25">
      <c r="A54" s="14"/>
      <c r="B54" s="15"/>
      <c r="C54" s="16"/>
      <c r="D54" s="16"/>
      <c r="E54" s="17"/>
      <c r="F54" s="18"/>
      <c r="G54" s="19" t="str" cm="1">
        <f t="array" ref="G54">IF(C54&lt;&gt;0,G53+(COS(RADIANS(IF(A54=1, hmstohdd(B54), IF(A54=2, 180-hmstohdd(B54), IF(A54=3, 180+hmstohdd(B54), IF(A54=4, 360-hmstohdd(B54), ""))))))*C54),"")</f>
        <v/>
      </c>
      <c r="H54" s="19" t="str" cm="1">
        <f t="array" ref="H54">IF(C54&lt;&gt;0,H53+(SIN(RADIANS(IF(A54=1, hmstohdd(B54), IF(A54=2, 180-hmstohdd(B54), IF(A54=3, 180+hmstohdd(B54), IF(A54=4, 360-hmstohdd(B54), ""))))))*C54),"")</f>
        <v/>
      </c>
      <c r="I54" s="10" t="str" cm="1">
        <f t="array" ref="I54">IF(D54&lt;&gt;0,IF(D54&lt;0,-(D54^2/2*(RADIANS(hmstohdd(F54))-SIN(RADIANS(hmstohdd(F54))))),D54^2/2*(RADIANS(hmstohdd(F54))-SIN(RADIANS(hmstohdd(F54))))),"")</f>
        <v/>
      </c>
    </row>
    <row r="55" spans="1:9" x14ac:dyDescent="0.25">
      <c r="A55" s="14"/>
      <c r="B55" s="15"/>
      <c r="C55" s="16"/>
      <c r="D55" s="16"/>
      <c r="E55" s="17"/>
      <c r="F55" s="18"/>
      <c r="G55" s="19" t="str" cm="1">
        <f t="array" ref="G55">IF(C55&lt;&gt;0,G54+(COS(RADIANS(IF(A55=1, hmstohdd(B55), IF(A55=2, 180-hmstohdd(B55), IF(A55=3, 180+hmstohdd(B55), IF(A55=4, 360-hmstohdd(B55), ""))))))*C55),"")</f>
        <v/>
      </c>
      <c r="H55" s="19" t="str" cm="1">
        <f t="array" ref="H55">IF(C55&lt;&gt;0,H54+(SIN(RADIANS(IF(A55=1, hmstohdd(B55), IF(A55=2, 180-hmstohdd(B55), IF(A55=3, 180+hmstohdd(B55), IF(A55=4, 360-hmstohdd(B55), ""))))))*C55),"")</f>
        <v/>
      </c>
      <c r="I55" s="10" t="str" cm="1">
        <f t="array" ref="I55">IF(D55&lt;&gt;0,IF(D55&lt;0,-(D55^2/2*(RADIANS(hmstohdd(F55))-SIN(RADIANS(hmstohdd(F55))))),D55^2/2*(RADIANS(hmstohdd(F55))-SIN(RADIANS(hmstohdd(F55))))),"")</f>
        <v/>
      </c>
    </row>
    <row r="56" spans="1:9" x14ac:dyDescent="0.25">
      <c r="A56" s="14"/>
      <c r="B56" s="15"/>
      <c r="C56" s="16"/>
      <c r="D56" s="16"/>
      <c r="E56" s="17"/>
      <c r="F56" s="18"/>
      <c r="G56" s="19" t="str" cm="1">
        <f t="array" ref="G56">IF(C56&lt;&gt;0,G55+(COS(RADIANS(IF(A56=1, hmstohdd(B56), IF(A56=2, 180-hmstohdd(B56), IF(A56=3, 180+hmstohdd(B56), IF(A56=4, 360-hmstohdd(B56), ""))))))*C56),"")</f>
        <v/>
      </c>
      <c r="H56" s="19" t="str" cm="1">
        <f t="array" ref="H56">IF(C56&lt;&gt;0,H55+(SIN(RADIANS(IF(A56=1, hmstohdd(B56), IF(A56=2, 180-hmstohdd(B56), IF(A56=3, 180+hmstohdd(B56), IF(A56=4, 360-hmstohdd(B56), ""))))))*C56),"")</f>
        <v/>
      </c>
      <c r="I56" s="10" t="str" cm="1">
        <f t="array" ref="I56">IF(D56&lt;&gt;0,IF(D56&lt;0,-(D56^2/2*(RADIANS(hmstohdd(F56))-SIN(RADIANS(hmstohdd(F56))))),D56^2/2*(RADIANS(hmstohdd(F56))-SIN(RADIANS(hmstohdd(F56))))),"")</f>
        <v/>
      </c>
    </row>
    <row r="57" spans="1:9" x14ac:dyDescent="0.25">
      <c r="A57" s="14"/>
      <c r="B57" s="15"/>
      <c r="C57" s="16"/>
      <c r="D57" s="16"/>
      <c r="E57" s="17"/>
      <c r="F57" s="18"/>
      <c r="G57" s="19" t="str" cm="1">
        <f t="array" ref="G57">IF(C57&lt;&gt;0,G56+(COS(RADIANS(IF(A57=1, hmstohdd(B57), IF(A57=2, 180-hmstohdd(B57), IF(A57=3, 180+hmstohdd(B57), IF(A57=4, 360-hmstohdd(B57), ""))))))*C57),"")</f>
        <v/>
      </c>
      <c r="H57" s="19" t="str" cm="1">
        <f t="array" ref="H57">IF(C57&lt;&gt;0,H56+(SIN(RADIANS(IF(A57=1, hmstohdd(B57), IF(A57=2, 180-hmstohdd(B57), IF(A57=3, 180+hmstohdd(B57), IF(A57=4, 360-hmstohdd(B57), ""))))))*C57),"")</f>
        <v/>
      </c>
      <c r="I57" s="10" t="str" cm="1">
        <f t="array" ref="I57">IF(D57&lt;&gt;0,IF(D57&lt;0,-(D57^2/2*(RADIANS(hmstohdd(F57))-SIN(RADIANS(hmstohdd(F57))))),D57^2/2*(RADIANS(hmstohdd(F57))-SIN(RADIANS(hmstohdd(F57))))),"")</f>
        <v/>
      </c>
    </row>
    <row r="58" spans="1:9" x14ac:dyDescent="0.25">
      <c r="A58" s="14"/>
      <c r="B58" s="15"/>
      <c r="C58" s="16"/>
      <c r="D58" s="16"/>
      <c r="E58" s="17"/>
      <c r="F58" s="18"/>
      <c r="G58" s="19" t="str" cm="1">
        <f t="array" ref="G58">IF(C58&lt;&gt;0,G57+(COS(RADIANS(IF(A58=1, hmstohdd(B58), IF(A58=2, 180-hmstohdd(B58), IF(A58=3, 180+hmstohdd(B58), IF(A58=4, 360-hmstohdd(B58), ""))))))*C58),"")</f>
        <v/>
      </c>
      <c r="H58" s="19" t="str" cm="1">
        <f t="array" ref="H58">IF(C58&lt;&gt;0,H57+(SIN(RADIANS(IF(A58=1, hmstohdd(B58), IF(A58=2, 180-hmstohdd(B58), IF(A58=3, 180+hmstohdd(B58), IF(A58=4, 360-hmstohdd(B58), ""))))))*C58),"")</f>
        <v/>
      </c>
      <c r="I58" s="10" t="str" cm="1">
        <f t="array" ref="I58">IF(D58&lt;&gt;0,IF(D58&lt;0,-(D58^2/2*(RADIANS(hmstohdd(F58))-SIN(RADIANS(hmstohdd(F58))))),D58^2/2*(RADIANS(hmstohdd(F58))-SIN(RADIANS(hmstohdd(F58))))),"")</f>
        <v/>
      </c>
    </row>
    <row r="59" spans="1:9" x14ac:dyDescent="0.25">
      <c r="A59" s="14"/>
      <c r="B59" s="15"/>
      <c r="C59" s="16"/>
      <c r="D59" s="16"/>
      <c r="E59" s="17"/>
      <c r="F59" s="18"/>
      <c r="G59" s="19" t="str" cm="1">
        <f t="array" ref="G59">IF(C59&lt;&gt;0,G58+(COS(RADIANS(IF(A59=1, hmstohdd(B59), IF(A59=2, 180-hmstohdd(B59), IF(A59=3, 180+hmstohdd(B59), IF(A59=4, 360-hmstohdd(B59), ""))))))*C59),"")</f>
        <v/>
      </c>
      <c r="H59" s="19" t="str" cm="1">
        <f t="array" ref="H59">IF(C59&lt;&gt;0,H58+(SIN(RADIANS(IF(A59=1, hmstohdd(B59), IF(A59=2, 180-hmstohdd(B59), IF(A59=3, 180+hmstohdd(B59), IF(A59=4, 360-hmstohdd(B59), ""))))))*C59),"")</f>
        <v/>
      </c>
      <c r="I59" s="10" t="str" cm="1">
        <f t="array" ref="I59">IF(D59&lt;&gt;0,IF(D59&lt;0,-(D59^2/2*(RADIANS(hmstohdd(F59))-SIN(RADIANS(hmstohdd(F59))))),D59^2/2*(RADIANS(hmstohdd(F59))-SIN(RADIANS(hmstohdd(F59))))),"")</f>
        <v/>
      </c>
    </row>
    <row r="60" spans="1:9" x14ac:dyDescent="0.25">
      <c r="A60" s="14"/>
      <c r="B60" s="15"/>
      <c r="C60" s="16"/>
      <c r="D60" s="16"/>
      <c r="E60" s="17"/>
      <c r="F60" s="18"/>
      <c r="G60" s="19" t="str" cm="1">
        <f t="array" ref="G60">IF(C60&lt;&gt;0,G59+(COS(RADIANS(IF(A60=1, hmstohdd(B60), IF(A60=2, 180-hmstohdd(B60), IF(A60=3, 180+hmstohdd(B60), IF(A60=4, 360-hmstohdd(B60), ""))))))*C60),"")</f>
        <v/>
      </c>
      <c r="H60" s="19" t="str" cm="1">
        <f t="array" ref="H60">IF(C60&lt;&gt;0,H59+(SIN(RADIANS(IF(A60=1, hmstohdd(B60), IF(A60=2, 180-hmstohdd(B60), IF(A60=3, 180+hmstohdd(B60), IF(A60=4, 360-hmstohdd(B60), ""))))))*C60),"")</f>
        <v/>
      </c>
      <c r="I60" s="10" t="str" cm="1">
        <f t="array" ref="I60">IF(D60&lt;&gt;0,IF(D60&lt;0,-(D60^2/2*(RADIANS(hmstohdd(F60))-SIN(RADIANS(hmstohdd(F60))))),D60^2/2*(RADIANS(hmstohdd(F60))-SIN(RADIANS(hmstohdd(F60))))),"")</f>
        <v/>
      </c>
    </row>
    <row r="61" spans="1:9" x14ac:dyDescent="0.25">
      <c r="A61" s="14"/>
      <c r="B61" s="15"/>
      <c r="C61" s="16"/>
      <c r="D61" s="16"/>
      <c r="E61" s="17"/>
      <c r="F61" s="18"/>
      <c r="G61" s="19" t="str" cm="1">
        <f t="array" ref="G61">IF(C61&lt;&gt;0,G60+(COS(RADIANS(IF(A61=1, hmstohdd(B61), IF(A61=2, 180-hmstohdd(B61), IF(A61=3, 180+hmstohdd(B61), IF(A61=4, 360-hmstohdd(B61), ""))))))*C61),"")</f>
        <v/>
      </c>
      <c r="H61" s="19" t="str" cm="1">
        <f t="array" ref="H61">IF(C61&lt;&gt;0,H60+(SIN(RADIANS(IF(A61=1, hmstohdd(B61), IF(A61=2, 180-hmstohdd(B61), IF(A61=3, 180+hmstohdd(B61), IF(A61=4, 360-hmstohdd(B61), ""))))))*C61),"")</f>
        <v/>
      </c>
      <c r="I61" s="10" t="str" cm="1">
        <f t="array" ref="I61">IF(D61&lt;&gt;0,IF(D61&lt;0,-(D61^2/2*(RADIANS(hmstohdd(F61))-SIN(RADIANS(hmstohdd(F61))))),D61^2/2*(RADIANS(hmstohdd(F61))-SIN(RADIANS(hmstohdd(F61))))),"")</f>
        <v/>
      </c>
    </row>
    <row r="62" spans="1:9" x14ac:dyDescent="0.25">
      <c r="A62" s="14"/>
      <c r="B62" s="15"/>
      <c r="C62" s="16"/>
      <c r="D62" s="16"/>
      <c r="E62" s="17"/>
      <c r="F62" s="18"/>
      <c r="G62" s="19" t="str" cm="1">
        <f t="array" ref="G62">IF(C62&lt;&gt;0,G61+(COS(RADIANS(IF(A62=1, hmstohdd(B62), IF(A62=2, 180-hmstohdd(B62), IF(A62=3, 180+hmstohdd(B62), IF(A62=4, 360-hmstohdd(B62), ""))))))*C62),"")</f>
        <v/>
      </c>
      <c r="H62" s="19" t="str" cm="1">
        <f t="array" ref="H62">IF(C62&lt;&gt;0,H61+(SIN(RADIANS(IF(A62=1, hmstohdd(B62), IF(A62=2, 180-hmstohdd(B62), IF(A62=3, 180+hmstohdd(B62), IF(A62=4, 360-hmstohdd(B62), ""))))))*C62),"")</f>
        <v/>
      </c>
      <c r="I62" s="10" t="str" cm="1">
        <f t="array" ref="I62">IF(D62&lt;&gt;0,IF(D62&lt;0,-(D62^2/2*(RADIANS(hmstohdd(F62))-SIN(RADIANS(hmstohdd(F62))))),D62^2/2*(RADIANS(hmstohdd(F62))-SIN(RADIANS(hmstohdd(F62))))),"")</f>
        <v/>
      </c>
    </row>
    <row r="63" spans="1:9" x14ac:dyDescent="0.25">
      <c r="A63" s="14"/>
      <c r="B63" s="15"/>
      <c r="C63" s="16"/>
      <c r="D63" s="16"/>
      <c r="E63" s="17"/>
      <c r="F63" s="18"/>
      <c r="G63" s="19" t="str" cm="1">
        <f t="array" ref="G63">IF(C63&lt;&gt;0,G62+(COS(RADIANS(IF(A63=1, hmstohdd(B63), IF(A63=2, 180-hmstohdd(B63), IF(A63=3, 180+hmstohdd(B63), IF(A63=4, 360-hmstohdd(B63), ""))))))*C63),"")</f>
        <v/>
      </c>
      <c r="H63" s="19" t="str" cm="1">
        <f t="array" ref="H63">IF(C63&lt;&gt;0,H62+(SIN(RADIANS(IF(A63=1, hmstohdd(B63), IF(A63=2, 180-hmstohdd(B63), IF(A63=3, 180+hmstohdd(B63), IF(A63=4, 360-hmstohdd(B63), ""))))))*C63),"")</f>
        <v/>
      </c>
      <c r="I63" s="10" t="str" cm="1">
        <f t="array" ref="I63">IF(D63&lt;&gt;0,IF(D63&lt;0,-(D63^2/2*(RADIANS(hmstohdd(F63))-SIN(RADIANS(hmstohdd(F63))))),D63^2/2*(RADIANS(hmstohdd(F63))-SIN(RADIANS(hmstohdd(F63))))),"")</f>
        <v/>
      </c>
    </row>
    <row r="64" spans="1:9" x14ac:dyDescent="0.25">
      <c r="A64" s="14"/>
      <c r="B64" s="15"/>
      <c r="C64" s="16"/>
      <c r="D64" s="16"/>
      <c r="E64" s="17"/>
      <c r="F64" s="18"/>
      <c r="G64" s="19" t="str" cm="1">
        <f t="array" ref="G64">IF(C64&lt;&gt;0,G63+(COS(RADIANS(IF(A64=1, hmstohdd(B64), IF(A64=2, 180-hmstohdd(B64), IF(A64=3, 180+hmstohdd(B64), IF(A64=4, 360-hmstohdd(B64), ""))))))*C64),"")</f>
        <v/>
      </c>
      <c r="H64" s="19" t="str" cm="1">
        <f t="array" ref="H64">IF(C64&lt;&gt;0,H63+(SIN(RADIANS(IF(A64=1, hmstohdd(B64), IF(A64=2, 180-hmstohdd(B64), IF(A64=3, 180+hmstohdd(B64), IF(A64=4, 360-hmstohdd(B64), ""))))))*C64),"")</f>
        <v/>
      </c>
      <c r="I64" s="10" t="str" cm="1">
        <f t="array" ref="I64">IF(D64&lt;&gt;0,IF(D64&lt;0,-(D64^2/2*(RADIANS(hmstohdd(F64))-SIN(RADIANS(hmstohdd(F64))))),D64^2/2*(RADIANS(hmstohdd(F64))-SIN(RADIANS(hmstohdd(F64))))),"")</f>
        <v/>
      </c>
    </row>
    <row r="65" spans="1:9" x14ac:dyDescent="0.25">
      <c r="A65" s="14"/>
      <c r="B65" s="15"/>
      <c r="C65" s="16"/>
      <c r="D65" s="16"/>
      <c r="E65" s="17"/>
      <c r="F65" s="18"/>
      <c r="G65" s="19" t="str" cm="1">
        <f t="array" ref="G65">IF(C65&lt;&gt;0,G64+(COS(RADIANS(IF(A65=1, hmstohdd(B65), IF(A65=2, 180-hmstohdd(B65), IF(A65=3, 180+hmstohdd(B65), IF(A65=4, 360-hmstohdd(B65), ""))))))*C65),"")</f>
        <v/>
      </c>
      <c r="H65" s="19" t="str" cm="1">
        <f t="array" ref="H65">IF(C65&lt;&gt;0,H64+(SIN(RADIANS(IF(A65=1, hmstohdd(B65), IF(A65=2, 180-hmstohdd(B65), IF(A65=3, 180+hmstohdd(B65), IF(A65=4, 360-hmstohdd(B65), ""))))))*C65),"")</f>
        <v/>
      </c>
      <c r="I65" s="10" t="str" cm="1">
        <f t="array" ref="I65">IF(D65&lt;&gt;0,IF(D65&lt;0,-(D65^2/2*(RADIANS(hmstohdd(F65))-SIN(RADIANS(hmstohdd(F65))))),D65^2/2*(RADIANS(hmstohdd(F65))-SIN(RADIANS(hmstohdd(F65))))),"")</f>
        <v/>
      </c>
    </row>
    <row r="66" spans="1:9" x14ac:dyDescent="0.25">
      <c r="A66" s="14"/>
      <c r="B66" s="15"/>
      <c r="C66" s="16"/>
      <c r="D66" s="16"/>
      <c r="E66" s="17"/>
      <c r="F66" s="18"/>
      <c r="G66" s="19" t="str" cm="1">
        <f t="array" ref="G66">IF(C66&lt;&gt;0,G65+(COS(RADIANS(IF(A66=1, hmstohdd(B66), IF(A66=2, 180-hmstohdd(B66), IF(A66=3, 180+hmstohdd(B66), IF(A66=4, 360-hmstohdd(B66), ""))))))*C66),"")</f>
        <v/>
      </c>
      <c r="H66" s="19" t="str" cm="1">
        <f t="array" ref="H66">IF(C66&lt;&gt;0,H65+(SIN(RADIANS(IF(A66=1, hmstohdd(B66), IF(A66=2, 180-hmstohdd(B66), IF(A66=3, 180+hmstohdd(B66), IF(A66=4, 360-hmstohdd(B66), ""))))))*C66),"")</f>
        <v/>
      </c>
      <c r="I66" s="10" t="str" cm="1">
        <f t="array" ref="I66">IF(D66&lt;&gt;0,IF(D66&lt;0,-(D66^2/2*(RADIANS(hmstohdd(F66))-SIN(RADIANS(hmstohdd(F66))))),D66^2/2*(RADIANS(hmstohdd(F66))-SIN(RADIANS(hmstohdd(F66))))),"")</f>
        <v/>
      </c>
    </row>
    <row r="67" spans="1:9" x14ac:dyDescent="0.25">
      <c r="A67" s="14"/>
      <c r="B67" s="15"/>
      <c r="C67" s="16"/>
      <c r="D67" s="16"/>
      <c r="E67" s="17"/>
      <c r="F67" s="18"/>
      <c r="G67" s="19" t="str" cm="1">
        <f t="array" ref="G67">IF(C67&lt;&gt;0,G66+(COS(RADIANS(IF(A67=1, hmstohdd(B67), IF(A67=2, 180-hmstohdd(B67), IF(A67=3, 180+hmstohdd(B67), IF(A67=4, 360-hmstohdd(B67), ""))))))*C67),"")</f>
        <v/>
      </c>
      <c r="H67" s="19" t="str" cm="1">
        <f t="array" ref="H67">IF(C67&lt;&gt;0,H66+(SIN(RADIANS(IF(A67=1, hmstohdd(B67), IF(A67=2, 180-hmstohdd(B67), IF(A67=3, 180+hmstohdd(B67), IF(A67=4, 360-hmstohdd(B67), ""))))))*C67),"")</f>
        <v/>
      </c>
      <c r="I67" s="10" t="str" cm="1">
        <f t="array" ref="I67">IF(D67&lt;&gt;0,IF(D67&lt;0,-(D67^2/2*(RADIANS(hmstohdd(F67))-SIN(RADIANS(hmstohdd(F67))))),D67^2/2*(RADIANS(hmstohdd(F67))-SIN(RADIANS(hmstohdd(F67))))),"")</f>
        <v/>
      </c>
    </row>
    <row r="68" spans="1:9" x14ac:dyDescent="0.25">
      <c r="A68" s="14"/>
      <c r="B68" s="15"/>
      <c r="C68" s="16"/>
      <c r="D68" s="16"/>
      <c r="E68" s="17"/>
      <c r="F68" s="18"/>
      <c r="G68" s="19" t="str" cm="1">
        <f t="array" ref="G68">IF(C68&lt;&gt;0,G67+(COS(RADIANS(IF(A68=1, hmstohdd(B68), IF(A68=2, 180-hmstohdd(B68), IF(A68=3, 180+hmstohdd(B68), IF(A68=4, 360-hmstohdd(B68), ""))))))*C68),"")</f>
        <v/>
      </c>
      <c r="H68" s="19" t="str" cm="1">
        <f t="array" ref="H68">IF(C68&lt;&gt;0,H67+(SIN(RADIANS(IF(A68=1, hmstohdd(B68), IF(A68=2, 180-hmstohdd(B68), IF(A68=3, 180+hmstohdd(B68), IF(A68=4, 360-hmstohdd(B68), ""))))))*C68),"")</f>
        <v/>
      </c>
      <c r="I68" s="10" t="str" cm="1">
        <f t="array" ref="I68">IF(D68&lt;&gt;0,IF(D68&lt;0,-(D68^2/2*(RADIANS(hmstohdd(F68))-SIN(RADIANS(hmstohdd(F68))))),D68^2/2*(RADIANS(hmstohdd(F68))-SIN(RADIANS(hmstohdd(F68))))),"")</f>
        <v/>
      </c>
    </row>
    <row r="69" spans="1:9" x14ac:dyDescent="0.25">
      <c r="A69" s="14"/>
      <c r="B69" s="15"/>
      <c r="C69" s="16"/>
      <c r="D69" s="16"/>
      <c r="E69" s="17"/>
      <c r="F69" s="18"/>
      <c r="G69" s="19" t="str" cm="1">
        <f t="array" ref="G69">IF(C69&lt;&gt;0,G68+(COS(RADIANS(IF(A69=1, hmstohdd(B69), IF(A69=2, 180-hmstohdd(B69), IF(A69=3, 180+hmstohdd(B69), IF(A69=4, 360-hmstohdd(B69), ""))))))*C69),"")</f>
        <v/>
      </c>
      <c r="H69" s="19" t="str" cm="1">
        <f t="array" ref="H69">IF(C69&lt;&gt;0,H68+(SIN(RADIANS(IF(A69=1, hmstohdd(B69), IF(A69=2, 180-hmstohdd(B69), IF(A69=3, 180+hmstohdd(B69), IF(A69=4, 360-hmstohdd(B69), ""))))))*C69),"")</f>
        <v/>
      </c>
      <c r="I69" s="10" t="str" cm="1">
        <f t="array" ref="I69">IF(D69&lt;&gt;0,IF(D69&lt;0,-(D69^2/2*(RADIANS(hmstohdd(F69))-SIN(RADIANS(hmstohdd(F69))))),D69^2/2*(RADIANS(hmstohdd(F69))-SIN(RADIANS(hmstohdd(F69))))),"")</f>
        <v/>
      </c>
    </row>
    <row r="70" spans="1:9" x14ac:dyDescent="0.25">
      <c r="A70" s="14"/>
      <c r="B70" s="15"/>
      <c r="C70" s="16"/>
      <c r="D70" s="16"/>
      <c r="E70" s="17"/>
      <c r="F70" s="18"/>
      <c r="G70" s="19" t="str" cm="1">
        <f t="array" ref="G70">IF(C70&lt;&gt;0,G69+(COS(RADIANS(IF(A70=1, hmstohdd(B70), IF(A70=2, 180-hmstohdd(B70), IF(A70=3, 180+hmstohdd(B70), IF(A70=4, 360-hmstohdd(B70), ""))))))*C70),"")</f>
        <v/>
      </c>
      <c r="H70" s="19" t="str" cm="1">
        <f t="array" ref="H70">IF(C70&lt;&gt;0,H69+(SIN(RADIANS(IF(A70=1, hmstohdd(B70), IF(A70=2, 180-hmstohdd(B70), IF(A70=3, 180+hmstohdd(B70), IF(A70=4, 360-hmstohdd(B70), ""))))))*C70),"")</f>
        <v/>
      </c>
      <c r="I70" s="10" t="str" cm="1">
        <f t="array" ref="I70">IF(D70&lt;&gt;0,IF(D70&lt;0,-(D70^2/2*(RADIANS(hmstohdd(F70))-SIN(RADIANS(hmstohdd(F70))))),D70^2/2*(RADIANS(hmstohdd(F70))-SIN(RADIANS(hmstohdd(F70))))),"")</f>
        <v/>
      </c>
    </row>
    <row r="71" spans="1:9" x14ac:dyDescent="0.25">
      <c r="A71" s="14"/>
      <c r="B71" s="15"/>
      <c r="C71" s="16"/>
      <c r="D71" s="16"/>
      <c r="E71" s="17"/>
      <c r="F71" s="18"/>
      <c r="G71" s="19" t="str" cm="1">
        <f t="array" ref="G71">IF(C71&lt;&gt;0,G70+(COS(RADIANS(IF(A71=1, hmstohdd(B71), IF(A71=2, 180-hmstohdd(B71), IF(A71=3, 180+hmstohdd(B71), IF(A71=4, 360-hmstohdd(B71), ""))))))*C71),"")</f>
        <v/>
      </c>
      <c r="H71" s="19" t="str" cm="1">
        <f t="array" ref="H71">IF(C71&lt;&gt;0,H70+(SIN(RADIANS(IF(A71=1, hmstohdd(B71), IF(A71=2, 180-hmstohdd(B71), IF(A71=3, 180+hmstohdd(B71), IF(A71=4, 360-hmstohdd(B71), ""))))))*C71),"")</f>
        <v/>
      </c>
      <c r="I71" s="10" t="str" cm="1">
        <f t="array" ref="I71">IF(D71&lt;&gt;0,IF(D71&lt;0,-(D71^2/2*(RADIANS(hmstohdd(F71))-SIN(RADIANS(hmstohdd(F71))))),D71^2/2*(RADIANS(hmstohdd(F71))-SIN(RADIANS(hmstohdd(F71))))),"")</f>
        <v/>
      </c>
    </row>
    <row r="72" spans="1:9" x14ac:dyDescent="0.25">
      <c r="A72" s="14"/>
      <c r="B72" s="15"/>
      <c r="C72" s="16"/>
      <c r="D72" s="16"/>
      <c r="E72" s="17"/>
      <c r="F72" s="18"/>
      <c r="G72" s="19" t="str" cm="1">
        <f t="array" ref="G72">IF(C72&lt;&gt;0,G71+(COS(RADIANS(IF(A72=1, hmstohdd(B72), IF(A72=2, 180-hmstohdd(B72), IF(A72=3, 180+hmstohdd(B72), IF(A72=4, 360-hmstohdd(B72), ""))))))*C72),"")</f>
        <v/>
      </c>
      <c r="H72" s="19" t="str" cm="1">
        <f t="array" ref="H72">IF(C72&lt;&gt;0,H71+(SIN(RADIANS(IF(A72=1, hmstohdd(B72), IF(A72=2, 180-hmstohdd(B72), IF(A72=3, 180+hmstohdd(B72), IF(A72=4, 360-hmstohdd(B72), ""))))))*C72),"")</f>
        <v/>
      </c>
      <c r="I72" s="10" t="str" cm="1">
        <f t="array" ref="I72">IF(D72&lt;&gt;0,IF(D72&lt;0,-(D72^2/2*(RADIANS(hmstohdd(F72))-SIN(RADIANS(hmstohdd(F72))))),D72^2/2*(RADIANS(hmstohdd(F72))-SIN(RADIANS(hmstohdd(F72))))),"")</f>
        <v/>
      </c>
    </row>
    <row r="73" spans="1:9" x14ac:dyDescent="0.25">
      <c r="A73" s="14"/>
      <c r="B73" s="15"/>
      <c r="C73" s="16"/>
      <c r="D73" s="16"/>
      <c r="E73" s="17"/>
      <c r="F73" s="18"/>
      <c r="G73" s="19" t="str" cm="1">
        <f t="array" ref="G73">IF(C73&lt;&gt;0,G72+(COS(RADIANS(IF(A73=1, hmstohdd(B73), IF(A73=2, 180-hmstohdd(B73), IF(A73=3, 180+hmstohdd(B73), IF(A73=4, 360-hmstohdd(B73), ""))))))*C73),"")</f>
        <v/>
      </c>
      <c r="H73" s="19" t="str" cm="1">
        <f t="array" ref="H73">IF(C73&lt;&gt;0,H72+(SIN(RADIANS(IF(A73=1, hmstohdd(B73), IF(A73=2, 180-hmstohdd(B73), IF(A73=3, 180+hmstohdd(B73), IF(A73=4, 360-hmstohdd(B73), ""))))))*C73),"")</f>
        <v/>
      </c>
      <c r="I73" s="10" t="str" cm="1">
        <f t="array" ref="I73">IF(D73&lt;&gt;0,IF(D73&lt;0,-(D73^2/2*(RADIANS(hmstohdd(F73))-SIN(RADIANS(hmstohdd(F73))))),D73^2/2*(RADIANS(hmstohdd(F73))-SIN(RADIANS(hmstohdd(F73))))),"")</f>
        <v/>
      </c>
    </row>
    <row r="74" spans="1:9" x14ac:dyDescent="0.25">
      <c r="A74" s="14"/>
      <c r="B74" s="15"/>
      <c r="C74" s="16"/>
      <c r="D74" s="16"/>
      <c r="E74" s="17"/>
      <c r="F74" s="18"/>
      <c r="G74" s="19" t="str" cm="1">
        <f t="array" ref="G74">IF(C74&lt;&gt;0,G73+(COS(RADIANS(IF(A74=1, hmstohdd(B74), IF(A74=2, 180-hmstohdd(B74), IF(A74=3, 180+hmstohdd(B74), IF(A74=4, 360-hmstohdd(B74), ""))))))*C74),"")</f>
        <v/>
      </c>
      <c r="H74" s="19" t="str" cm="1">
        <f t="array" ref="H74">IF(C74&lt;&gt;0,H73+(SIN(RADIANS(IF(A74=1, hmstohdd(B74), IF(A74=2, 180-hmstohdd(B74), IF(A74=3, 180+hmstohdd(B74), IF(A74=4, 360-hmstohdd(B74), ""))))))*C74),"")</f>
        <v/>
      </c>
      <c r="I74" s="10" t="str" cm="1">
        <f t="array" ref="I74">IF(D74&lt;&gt;0,IF(D74&lt;0,-(D74^2/2*(RADIANS(hmstohdd(F74))-SIN(RADIANS(hmstohdd(F74))))),D74^2/2*(RADIANS(hmstohdd(F74))-SIN(RADIANS(hmstohdd(F74))))),"")</f>
        <v/>
      </c>
    </row>
    <row r="75" spans="1:9" x14ac:dyDescent="0.25">
      <c r="A75" s="14"/>
      <c r="B75" s="15"/>
      <c r="C75" s="16"/>
      <c r="D75" s="16"/>
      <c r="E75" s="17"/>
      <c r="F75" s="18"/>
      <c r="G75" s="19" t="str" cm="1">
        <f t="array" ref="G75">IF(C75&lt;&gt;0,G74+(COS(RADIANS(IF(A75=1, hmstohdd(B75), IF(A75=2, 180-hmstohdd(B75), IF(A75=3, 180+hmstohdd(B75), IF(A75=4, 360-hmstohdd(B75), ""))))))*C75),"")</f>
        <v/>
      </c>
      <c r="H75" s="19" t="str" cm="1">
        <f t="array" ref="H75">IF(C75&lt;&gt;0,H74+(SIN(RADIANS(IF(A75=1, hmstohdd(B75), IF(A75=2, 180-hmstohdd(B75), IF(A75=3, 180+hmstohdd(B75), IF(A75=4, 360-hmstohdd(B75), ""))))))*C75),"")</f>
        <v/>
      </c>
      <c r="I75" s="10" t="str" cm="1">
        <f t="array" ref="I75">IF(D75&lt;&gt;0,IF(D75&lt;0,-(D75^2/2*(RADIANS(hmstohdd(F75))-SIN(RADIANS(hmstohdd(F75))))),D75^2/2*(RADIANS(hmstohdd(F75))-SIN(RADIANS(hmstohdd(F75))))),"")</f>
        <v/>
      </c>
    </row>
    <row r="76" spans="1:9" x14ac:dyDescent="0.25">
      <c r="A76" s="14"/>
      <c r="B76" s="15"/>
      <c r="C76" s="16"/>
      <c r="D76" s="16"/>
      <c r="E76" s="17"/>
      <c r="F76" s="18"/>
      <c r="G76" s="19" t="str" cm="1">
        <f t="array" ref="G76">IF(C76&lt;&gt;0,G75+(COS(RADIANS(IF(A76=1, hmstohdd(B76), IF(A76=2, 180-hmstohdd(B76), IF(A76=3, 180+hmstohdd(B76), IF(A76=4, 360-hmstohdd(B76), ""))))))*C76),"")</f>
        <v/>
      </c>
      <c r="H76" s="19" t="str" cm="1">
        <f t="array" ref="H76">IF(C76&lt;&gt;0,H75+(SIN(RADIANS(IF(A76=1, hmstohdd(B76), IF(A76=2, 180-hmstohdd(B76), IF(A76=3, 180+hmstohdd(B76), IF(A76=4, 360-hmstohdd(B76), ""))))))*C76),"")</f>
        <v/>
      </c>
      <c r="I76" s="10" t="str" cm="1">
        <f t="array" ref="I76">IF(D76&lt;&gt;0,IF(D76&lt;0,-(D76^2/2*(RADIANS(hmstohdd(F76))-SIN(RADIANS(hmstohdd(F76))))),D76^2/2*(RADIANS(hmstohdd(F76))-SIN(RADIANS(hmstohdd(F76))))),"")</f>
        <v/>
      </c>
    </row>
    <row r="77" spans="1:9" x14ac:dyDescent="0.25">
      <c r="A77" s="14"/>
      <c r="B77" s="15"/>
      <c r="C77" s="16"/>
      <c r="D77" s="16"/>
      <c r="E77" s="17"/>
      <c r="F77" s="18"/>
      <c r="G77" s="19" t="str" cm="1">
        <f t="array" ref="G77">IF(C77&lt;&gt;0,G76+(COS(RADIANS(IF(A77=1, hmstohdd(B77), IF(A77=2, 180-hmstohdd(B77), IF(A77=3, 180+hmstohdd(B77), IF(A77=4, 360-hmstohdd(B77), ""))))))*C77),"")</f>
        <v/>
      </c>
      <c r="H77" s="19" t="str" cm="1">
        <f t="array" ref="H77">IF(C77&lt;&gt;0,H76+(SIN(RADIANS(IF(A77=1, hmstohdd(B77), IF(A77=2, 180-hmstohdd(B77), IF(A77=3, 180+hmstohdd(B77), IF(A77=4, 360-hmstohdd(B77), ""))))))*C77),"")</f>
        <v/>
      </c>
      <c r="I77" s="10" t="str" cm="1">
        <f t="array" ref="I77">IF(D77&lt;&gt;0,IF(D77&lt;0,-(D77^2/2*(RADIANS(hmstohdd(F77))-SIN(RADIANS(hmstohdd(F77))))),D77^2/2*(RADIANS(hmstohdd(F77))-SIN(RADIANS(hmstohdd(F77))))),"")</f>
        <v/>
      </c>
    </row>
    <row r="78" spans="1:9" x14ac:dyDescent="0.25">
      <c r="A78" s="14"/>
      <c r="B78" s="15"/>
      <c r="C78" s="16"/>
      <c r="D78" s="16"/>
      <c r="E78" s="17"/>
      <c r="F78" s="18"/>
      <c r="G78" s="19" t="str" cm="1">
        <f t="array" ref="G78">IF(C78&lt;&gt;0,G77+(COS(RADIANS(IF(A78=1, hmstohdd(B78), IF(A78=2, 180-hmstohdd(B78), IF(A78=3, 180+hmstohdd(B78), IF(A78=4, 360-hmstohdd(B78), ""))))))*C78),"")</f>
        <v/>
      </c>
      <c r="H78" s="19" t="str" cm="1">
        <f t="array" ref="H78">IF(C78&lt;&gt;0,H77+(SIN(RADIANS(IF(A78=1, hmstohdd(B78), IF(A78=2, 180-hmstohdd(B78), IF(A78=3, 180+hmstohdd(B78), IF(A78=4, 360-hmstohdd(B78), ""))))))*C78),"")</f>
        <v/>
      </c>
      <c r="I78" s="10" t="str" cm="1">
        <f t="array" ref="I78">IF(D78&lt;&gt;0,IF(D78&lt;0,-(D78^2/2*(RADIANS(hmstohdd(F78))-SIN(RADIANS(hmstohdd(F78))))),D78^2/2*(RADIANS(hmstohdd(F78))-SIN(RADIANS(hmstohdd(F78))))),"")</f>
        <v/>
      </c>
    </row>
    <row r="79" spans="1:9" x14ac:dyDescent="0.25">
      <c r="A79" s="14"/>
      <c r="B79" s="15"/>
      <c r="C79" s="16"/>
      <c r="D79" s="16"/>
      <c r="E79" s="17"/>
      <c r="F79" s="18"/>
      <c r="G79" s="19" t="str" cm="1">
        <f t="array" ref="G79">IF(C79&lt;&gt;0,G78+(COS(RADIANS(IF(A79=1, hmstohdd(B79), IF(A79=2, 180-hmstohdd(B79), IF(A79=3, 180+hmstohdd(B79), IF(A79=4, 360-hmstohdd(B79), ""))))))*C79),"")</f>
        <v/>
      </c>
      <c r="H79" s="19" t="str" cm="1">
        <f t="array" ref="H79">IF(C79&lt;&gt;0,H78+(SIN(RADIANS(IF(A79=1, hmstohdd(B79), IF(A79=2, 180-hmstohdd(B79), IF(A79=3, 180+hmstohdd(B79), IF(A79=4, 360-hmstohdd(B79), ""))))))*C79),"")</f>
        <v/>
      </c>
      <c r="I79" s="10" t="str" cm="1">
        <f t="array" ref="I79">IF(D79&lt;&gt;0,IF(D79&lt;0,-(D79^2/2*(RADIANS(hmstohdd(F79))-SIN(RADIANS(hmstohdd(F79))))),D79^2/2*(RADIANS(hmstohdd(F79))-SIN(RADIANS(hmstohdd(F79))))),"")</f>
        <v/>
      </c>
    </row>
    <row r="80" spans="1:9" x14ac:dyDescent="0.25">
      <c r="A80" s="14"/>
      <c r="B80" s="15"/>
      <c r="C80" s="16"/>
      <c r="D80" s="16"/>
      <c r="E80" s="17"/>
      <c r="F80" s="18"/>
      <c r="G80" s="19" t="str" cm="1">
        <f t="array" ref="G80">IF(C80&lt;&gt;0,G79+(COS(RADIANS(IF(A80=1, hmstohdd(B80), IF(A80=2, 180-hmstohdd(B80), IF(A80=3, 180+hmstohdd(B80), IF(A80=4, 360-hmstohdd(B80), ""))))))*C80),"")</f>
        <v/>
      </c>
      <c r="H80" s="19" t="str" cm="1">
        <f t="array" ref="H80">IF(C80&lt;&gt;0,H79+(SIN(RADIANS(IF(A80=1, hmstohdd(B80), IF(A80=2, 180-hmstohdd(B80), IF(A80=3, 180+hmstohdd(B80), IF(A80=4, 360-hmstohdd(B80), ""))))))*C80),"")</f>
        <v/>
      </c>
      <c r="I80" s="10" t="str" cm="1">
        <f t="array" ref="I80">IF(D80&lt;&gt;0,IF(D80&lt;0,-(D80^2/2*(RADIANS(hmstohdd(F80))-SIN(RADIANS(hmstohdd(F80))))),D80^2/2*(RADIANS(hmstohdd(F80))-SIN(RADIANS(hmstohdd(F80))))),"")</f>
        <v/>
      </c>
    </row>
    <row r="81" spans="1:9" x14ac:dyDescent="0.25">
      <c r="A81" s="14"/>
      <c r="B81" s="15"/>
      <c r="C81" s="16"/>
      <c r="D81" s="16"/>
      <c r="E81" s="17"/>
      <c r="F81" s="18"/>
      <c r="G81" s="19" t="str" cm="1">
        <f t="array" ref="G81">IF(C81&lt;&gt;0,G80+(COS(RADIANS(IF(A81=1, hmstohdd(B81), IF(A81=2, 180-hmstohdd(B81), IF(A81=3, 180+hmstohdd(B81), IF(A81=4, 360-hmstohdd(B81), ""))))))*C81),"")</f>
        <v/>
      </c>
      <c r="H81" s="19" t="str" cm="1">
        <f t="array" ref="H81">IF(C81&lt;&gt;0,H80+(SIN(RADIANS(IF(A81=1, hmstohdd(B81), IF(A81=2, 180-hmstohdd(B81), IF(A81=3, 180+hmstohdd(B81), IF(A81=4, 360-hmstohdd(B81), ""))))))*C81),"")</f>
        <v/>
      </c>
      <c r="I81" s="10" t="str" cm="1">
        <f t="array" ref="I81">IF(D81&lt;&gt;0,IF(D81&lt;0,-(D81^2/2*(RADIANS(hmstohdd(F81))-SIN(RADIANS(hmstohdd(F81))))),D81^2/2*(RADIANS(hmstohdd(F81))-SIN(RADIANS(hmstohdd(F81))))),"")</f>
        <v/>
      </c>
    </row>
    <row r="82" spans="1:9" x14ac:dyDescent="0.25">
      <c r="A82" s="14"/>
      <c r="B82" s="15"/>
      <c r="C82" s="16"/>
      <c r="D82" s="16"/>
      <c r="E82" s="17"/>
      <c r="F82" s="18"/>
      <c r="G82" s="19" t="str" cm="1">
        <f t="array" ref="G82">IF(C82&lt;&gt;0,G81+(COS(RADIANS(IF(A82=1, hmstohdd(B82), IF(A82=2, 180-hmstohdd(B82), IF(A82=3, 180+hmstohdd(B82), IF(A82=4, 360-hmstohdd(B82), ""))))))*C82),"")</f>
        <v/>
      </c>
      <c r="H82" s="19" t="str" cm="1">
        <f t="array" ref="H82">IF(C82&lt;&gt;0,H81+(SIN(RADIANS(IF(A82=1, hmstohdd(B82), IF(A82=2, 180-hmstohdd(B82), IF(A82=3, 180+hmstohdd(B82), IF(A82=4, 360-hmstohdd(B82), ""))))))*C82),"")</f>
        <v/>
      </c>
      <c r="I82" s="10" t="str" cm="1">
        <f t="array" ref="I82">IF(D82&lt;&gt;0,IF(D82&lt;0,-(D82^2/2*(RADIANS(hmstohdd(F82))-SIN(RADIANS(hmstohdd(F82))))),D82^2/2*(RADIANS(hmstohdd(F82))-SIN(RADIANS(hmstohdd(F82))))),"")</f>
        <v/>
      </c>
    </row>
    <row r="83" spans="1:9" x14ac:dyDescent="0.25">
      <c r="A83" s="14"/>
      <c r="B83" s="15"/>
      <c r="C83" s="16"/>
      <c r="D83" s="16"/>
      <c r="E83" s="17"/>
      <c r="F83" s="18"/>
      <c r="G83" s="19" t="str" cm="1">
        <f t="array" ref="G83">IF(C83&lt;&gt;0,G82+(COS(RADIANS(IF(A83=1, hmstohdd(B83), IF(A83=2, 180-hmstohdd(B83), IF(A83=3, 180+hmstohdd(B83), IF(A83=4, 360-hmstohdd(B83), ""))))))*C83),"")</f>
        <v/>
      </c>
      <c r="H83" s="19" t="str" cm="1">
        <f t="array" ref="H83">IF(C83&lt;&gt;0,H82+(SIN(RADIANS(IF(A83=1, hmstohdd(B83), IF(A83=2, 180-hmstohdd(B83), IF(A83=3, 180+hmstohdd(B83), IF(A83=4, 360-hmstohdd(B83), ""))))))*C83),"")</f>
        <v/>
      </c>
      <c r="I83" s="10" t="str" cm="1">
        <f t="array" ref="I83">IF(D83&lt;&gt;0,IF(D83&lt;0,-(D83^2/2*(RADIANS(hmstohdd(F83))-SIN(RADIANS(hmstohdd(F83))))),D83^2/2*(RADIANS(hmstohdd(F83))-SIN(RADIANS(hmstohdd(F83))))),"")</f>
        <v/>
      </c>
    </row>
    <row r="84" spans="1:9" x14ac:dyDescent="0.25">
      <c r="A84" s="14"/>
      <c r="B84" s="15"/>
      <c r="C84" s="16"/>
      <c r="D84" s="16"/>
      <c r="E84" s="17"/>
      <c r="F84" s="18"/>
      <c r="G84" s="19" t="str" cm="1">
        <f t="array" ref="G84">IF(C84&lt;&gt;0,G83+(COS(RADIANS(IF(A84=1, hmstohdd(B84), IF(A84=2, 180-hmstohdd(B84), IF(A84=3, 180+hmstohdd(B84), IF(A84=4, 360-hmstohdd(B84), ""))))))*C84),"")</f>
        <v/>
      </c>
      <c r="H84" s="19" t="str" cm="1">
        <f t="array" ref="H84">IF(C84&lt;&gt;0,H83+(SIN(RADIANS(IF(A84=1, hmstohdd(B84), IF(A84=2, 180-hmstohdd(B84), IF(A84=3, 180+hmstohdd(B84), IF(A84=4, 360-hmstohdd(B84), ""))))))*C84),"")</f>
        <v/>
      </c>
      <c r="I84" s="10" t="str" cm="1">
        <f t="array" ref="I84">IF(D84&lt;&gt;0,IF(D84&lt;0,-(D84^2/2*(RADIANS(hmstohdd(F84))-SIN(RADIANS(hmstohdd(F84))))),D84^2/2*(RADIANS(hmstohdd(F84))-SIN(RADIANS(hmstohdd(F84))))),"")</f>
        <v/>
      </c>
    </row>
    <row r="85" spans="1:9" x14ac:dyDescent="0.25">
      <c r="A85" s="14"/>
      <c r="B85" s="15"/>
      <c r="C85" s="16"/>
      <c r="D85" s="16"/>
      <c r="E85" s="17"/>
      <c r="F85" s="18"/>
      <c r="G85" s="19" t="str" cm="1">
        <f t="array" ref="G85">IF(C85&lt;&gt;0,G84+(COS(RADIANS(IF(A85=1, hmstohdd(B85), IF(A85=2, 180-hmstohdd(B85), IF(A85=3, 180+hmstohdd(B85), IF(A85=4, 360-hmstohdd(B85), ""))))))*C85),"")</f>
        <v/>
      </c>
      <c r="H85" s="19" t="str" cm="1">
        <f t="array" ref="H85">IF(C85&lt;&gt;0,H84+(SIN(RADIANS(IF(A85=1, hmstohdd(B85), IF(A85=2, 180-hmstohdd(B85), IF(A85=3, 180+hmstohdd(B85), IF(A85=4, 360-hmstohdd(B85), ""))))))*C85),"")</f>
        <v/>
      </c>
      <c r="I85" s="10" t="str" cm="1">
        <f t="array" ref="I85">IF(D85&lt;&gt;0,IF(D85&lt;0,-(D85^2/2*(RADIANS(hmstohdd(F85))-SIN(RADIANS(hmstohdd(F85))))),D85^2/2*(RADIANS(hmstohdd(F85))-SIN(RADIANS(hmstohdd(F85))))),"")</f>
        <v/>
      </c>
    </row>
    <row r="86" spans="1:9" x14ac:dyDescent="0.25">
      <c r="A86" s="14"/>
      <c r="B86" s="15"/>
      <c r="C86" s="16"/>
      <c r="D86" s="16"/>
      <c r="E86" s="17"/>
      <c r="F86" s="18"/>
      <c r="G86" s="19" t="str" cm="1">
        <f t="array" ref="G86">IF(C86&lt;&gt;0,G85+(COS(RADIANS(IF(A86=1, hmstohdd(B86), IF(A86=2, 180-hmstohdd(B86), IF(A86=3, 180+hmstohdd(B86), IF(A86=4, 360-hmstohdd(B86), ""))))))*C86),"")</f>
        <v/>
      </c>
      <c r="H86" s="19" t="str" cm="1">
        <f t="array" ref="H86">IF(C86&lt;&gt;0,H85+(SIN(RADIANS(IF(A86=1, hmstohdd(B86), IF(A86=2, 180-hmstohdd(B86), IF(A86=3, 180+hmstohdd(B86), IF(A86=4, 360-hmstohdd(B86), ""))))))*C86),"")</f>
        <v/>
      </c>
      <c r="I86" s="10" t="str" cm="1">
        <f t="array" ref="I86">IF(D86&lt;&gt;0,IF(D86&lt;0,-(D86^2/2*(RADIANS(hmstohdd(F86))-SIN(RADIANS(hmstohdd(F86))))),D86^2/2*(RADIANS(hmstohdd(F86))-SIN(RADIANS(hmstohdd(F86))))),"")</f>
        <v/>
      </c>
    </row>
    <row r="87" spans="1:9" x14ac:dyDescent="0.25">
      <c r="A87" s="14"/>
      <c r="B87" s="15"/>
      <c r="C87" s="16"/>
      <c r="D87" s="16"/>
      <c r="E87" s="17"/>
      <c r="F87" s="18"/>
      <c r="G87" s="19" t="str" cm="1">
        <f t="array" ref="G87">IF(C87&lt;&gt;0,G86+(COS(RADIANS(IF(A87=1, hmstohdd(B87), IF(A87=2, 180-hmstohdd(B87), IF(A87=3, 180+hmstohdd(B87), IF(A87=4, 360-hmstohdd(B87), ""))))))*C87),"")</f>
        <v/>
      </c>
      <c r="H87" s="19" t="str" cm="1">
        <f t="array" ref="H87">IF(C87&lt;&gt;0,H86+(SIN(RADIANS(IF(A87=1, hmstohdd(B87), IF(A87=2, 180-hmstohdd(B87), IF(A87=3, 180+hmstohdd(B87), IF(A87=4, 360-hmstohdd(B87), ""))))))*C87),"")</f>
        <v/>
      </c>
      <c r="I87" s="10" t="str" cm="1">
        <f t="array" ref="I87">IF(D87&lt;&gt;0,IF(D87&lt;0,-(D87^2/2*(RADIANS(hmstohdd(F87))-SIN(RADIANS(hmstohdd(F87))))),D87^2/2*(RADIANS(hmstohdd(F87))-SIN(RADIANS(hmstohdd(F87))))),"")</f>
        <v/>
      </c>
    </row>
    <row r="88" spans="1:9" x14ac:dyDescent="0.25">
      <c r="A88" s="14"/>
      <c r="B88" s="15"/>
      <c r="C88" s="16"/>
      <c r="D88" s="16"/>
      <c r="E88" s="17"/>
      <c r="F88" s="18"/>
      <c r="G88" s="19" t="str" cm="1">
        <f t="array" ref="G88">IF(C88&lt;&gt;0,G87+(COS(RADIANS(IF(A88=1, hmstohdd(B88), IF(A88=2, 180-hmstohdd(B88), IF(A88=3, 180+hmstohdd(B88), IF(A88=4, 360-hmstohdd(B88), ""))))))*C88),"")</f>
        <v/>
      </c>
      <c r="H88" s="19" t="str" cm="1">
        <f t="array" ref="H88">IF(C88&lt;&gt;0,H87+(SIN(RADIANS(IF(A88=1, hmstohdd(B88), IF(A88=2, 180-hmstohdd(B88), IF(A88=3, 180+hmstohdd(B88), IF(A88=4, 360-hmstohdd(B88), ""))))))*C88),"")</f>
        <v/>
      </c>
      <c r="I88" s="10" t="str" cm="1">
        <f t="array" ref="I88">IF(D88&lt;&gt;0,IF(D88&lt;0,-(D88^2/2*(RADIANS(hmstohdd(F88))-SIN(RADIANS(hmstohdd(F88))))),D88^2/2*(RADIANS(hmstohdd(F88))-SIN(RADIANS(hmstohdd(F88))))),"")</f>
        <v/>
      </c>
    </row>
    <row r="89" spans="1:9" x14ac:dyDescent="0.25">
      <c r="A89" s="14"/>
      <c r="B89" s="15"/>
      <c r="C89" s="16"/>
      <c r="D89" s="16"/>
      <c r="E89" s="17"/>
      <c r="F89" s="18"/>
      <c r="G89" s="19" t="str" cm="1">
        <f t="array" ref="G89">IF(C89&lt;&gt;0,G88+(COS(RADIANS(IF(A89=1, hmstohdd(B89), IF(A89=2, 180-hmstohdd(B89), IF(A89=3, 180+hmstohdd(B89), IF(A89=4, 360-hmstohdd(B89), ""))))))*C89),"")</f>
        <v/>
      </c>
      <c r="H89" s="19" t="str" cm="1">
        <f t="array" ref="H89">IF(C89&lt;&gt;0,H88+(SIN(RADIANS(IF(A89=1, hmstohdd(B89), IF(A89=2, 180-hmstohdd(B89), IF(A89=3, 180+hmstohdd(B89), IF(A89=4, 360-hmstohdd(B89), ""))))))*C89),"")</f>
        <v/>
      </c>
      <c r="I89" s="10" t="str" cm="1">
        <f t="array" ref="I89">IF(D89&lt;&gt;0,IF(D89&lt;0,-(D89^2/2*(RADIANS(hmstohdd(F89))-SIN(RADIANS(hmstohdd(F89))))),D89^2/2*(RADIANS(hmstohdd(F89))-SIN(RADIANS(hmstohdd(F89))))),"")</f>
        <v/>
      </c>
    </row>
    <row r="90" spans="1:9" x14ac:dyDescent="0.25">
      <c r="A90" s="14"/>
      <c r="B90" s="15"/>
      <c r="C90" s="16"/>
      <c r="D90" s="16"/>
      <c r="E90" s="17"/>
      <c r="F90" s="18"/>
      <c r="G90" s="19" t="str" cm="1">
        <f t="array" ref="G90">IF(C90&lt;&gt;0,G89+(COS(RADIANS(IF(A90=1, hmstohdd(B90), IF(A90=2, 180-hmstohdd(B90), IF(A90=3, 180+hmstohdd(B90), IF(A90=4, 360-hmstohdd(B90), ""))))))*C90),"")</f>
        <v/>
      </c>
      <c r="H90" s="19" t="str" cm="1">
        <f t="array" ref="H90">IF(C90&lt;&gt;0,H89+(SIN(RADIANS(IF(A90=1, hmstohdd(B90), IF(A90=2, 180-hmstohdd(B90), IF(A90=3, 180+hmstohdd(B90), IF(A90=4, 360-hmstohdd(B90), ""))))))*C90),"")</f>
        <v/>
      </c>
      <c r="I90" s="10" t="str" cm="1">
        <f t="array" ref="I90">IF(D90&lt;&gt;0,IF(D90&lt;0,-(D90^2/2*(RADIANS(hmstohdd(F90))-SIN(RADIANS(hmstohdd(F90))))),D90^2/2*(RADIANS(hmstohdd(F90))-SIN(RADIANS(hmstohdd(F90))))),"")</f>
        <v/>
      </c>
    </row>
    <row r="91" spans="1:9" x14ac:dyDescent="0.25">
      <c r="A91" s="14"/>
      <c r="B91" s="15"/>
      <c r="C91" s="16"/>
      <c r="D91" s="16"/>
      <c r="E91" s="17"/>
      <c r="F91" s="18"/>
      <c r="G91" s="19" t="str" cm="1">
        <f t="array" ref="G91">IF(C91&lt;&gt;0,G90+(COS(RADIANS(IF(A91=1, hmstohdd(B91), IF(A91=2, 180-hmstohdd(B91), IF(A91=3, 180+hmstohdd(B91), IF(A91=4, 360-hmstohdd(B91), ""))))))*C91),"")</f>
        <v/>
      </c>
      <c r="H91" s="19" t="str" cm="1">
        <f t="array" ref="H91">IF(C91&lt;&gt;0,H90+(SIN(RADIANS(IF(A91=1, hmstohdd(B91), IF(A91=2, 180-hmstohdd(B91), IF(A91=3, 180+hmstohdd(B91), IF(A91=4, 360-hmstohdd(B91), ""))))))*C91),"")</f>
        <v/>
      </c>
      <c r="I91" s="10" t="str" cm="1">
        <f t="array" ref="I91">IF(D91&lt;&gt;0,IF(D91&lt;0,-(D91^2/2*(RADIANS(hmstohdd(F91))-SIN(RADIANS(hmstohdd(F91))))),D91^2/2*(RADIANS(hmstohdd(F91))-SIN(RADIANS(hmstohdd(F91))))),"")</f>
        <v/>
      </c>
    </row>
    <row r="92" spans="1:9" x14ac:dyDescent="0.25">
      <c r="A92" s="14"/>
      <c r="B92" s="15"/>
      <c r="C92" s="16"/>
      <c r="D92" s="16"/>
      <c r="E92" s="17"/>
      <c r="F92" s="18"/>
      <c r="G92" s="19" t="str" cm="1">
        <f t="array" ref="G92">IF(C92&lt;&gt;0,G91+(COS(RADIANS(IF(A92=1, hmstohdd(B92), IF(A92=2, 180-hmstohdd(B92), IF(A92=3, 180+hmstohdd(B92), IF(A92=4, 360-hmstohdd(B92), ""))))))*C92),"")</f>
        <v/>
      </c>
      <c r="H92" s="19" t="str" cm="1">
        <f t="array" ref="H92">IF(C92&lt;&gt;0,H91+(SIN(RADIANS(IF(A92=1, hmstohdd(B92), IF(A92=2, 180-hmstohdd(B92), IF(A92=3, 180+hmstohdd(B92), IF(A92=4, 360-hmstohdd(B92), ""))))))*C92),"")</f>
        <v/>
      </c>
      <c r="I92" s="10" t="str" cm="1">
        <f t="array" ref="I92">IF(D92&lt;&gt;0,IF(D92&lt;0,-(D92^2/2*(RADIANS(hmstohdd(F92))-SIN(RADIANS(hmstohdd(F92))))),D92^2/2*(RADIANS(hmstohdd(F92))-SIN(RADIANS(hmstohdd(F92))))),"")</f>
        <v/>
      </c>
    </row>
    <row r="93" spans="1:9" x14ac:dyDescent="0.25">
      <c r="A93" s="14"/>
      <c r="B93" s="15"/>
      <c r="C93" s="16"/>
      <c r="D93" s="16"/>
      <c r="E93" s="17"/>
      <c r="F93" s="18"/>
      <c r="G93" s="19" t="str" cm="1">
        <f t="array" ref="G93">IF(C93&lt;&gt;0,G92+(COS(RADIANS(IF(A93=1, hmstohdd(B93), IF(A93=2, 180-hmstohdd(B93), IF(A93=3, 180+hmstohdd(B93), IF(A93=4, 360-hmstohdd(B93), ""))))))*C93),"")</f>
        <v/>
      </c>
      <c r="H93" s="19" t="str" cm="1">
        <f t="array" ref="H93">IF(C93&lt;&gt;0,H92+(SIN(RADIANS(IF(A93=1, hmstohdd(B93), IF(A93=2, 180-hmstohdd(B93), IF(A93=3, 180+hmstohdd(B93), IF(A93=4, 360-hmstohdd(B93), ""))))))*C93),"")</f>
        <v/>
      </c>
      <c r="I93" s="10" t="str" cm="1">
        <f t="array" ref="I93">IF(D93&lt;&gt;0,IF(D93&lt;0,-(D93^2/2*(RADIANS(hmstohdd(F93))-SIN(RADIANS(hmstohdd(F93))))),D93^2/2*(RADIANS(hmstohdd(F93))-SIN(RADIANS(hmstohdd(F93))))),"")</f>
        <v/>
      </c>
    </row>
    <row r="94" spans="1:9" x14ac:dyDescent="0.25">
      <c r="A94" s="14"/>
      <c r="B94" s="15"/>
      <c r="C94" s="16"/>
      <c r="D94" s="16"/>
      <c r="E94" s="17"/>
      <c r="F94" s="18"/>
      <c r="G94" s="19" t="str" cm="1">
        <f t="array" ref="G94">IF(C94&lt;&gt;0,G93+(COS(RADIANS(IF(A94=1, hmstohdd(B94), IF(A94=2, 180-hmstohdd(B94), IF(A94=3, 180+hmstohdd(B94), IF(A94=4, 360-hmstohdd(B94), ""))))))*C94),"")</f>
        <v/>
      </c>
      <c r="H94" s="19" t="str" cm="1">
        <f t="array" ref="H94">IF(C94&lt;&gt;0,H93+(SIN(RADIANS(IF(A94=1, hmstohdd(B94), IF(A94=2, 180-hmstohdd(B94), IF(A94=3, 180+hmstohdd(B94), IF(A94=4, 360-hmstohdd(B94), ""))))))*C94),"")</f>
        <v/>
      </c>
      <c r="I94" s="10" t="str" cm="1">
        <f t="array" ref="I94">IF(D94&lt;&gt;0,IF(D94&lt;0,-(D94^2/2*(RADIANS(hmstohdd(F94))-SIN(RADIANS(hmstohdd(F94))))),D94^2/2*(RADIANS(hmstohdd(F94))-SIN(RADIANS(hmstohdd(F94))))),"")</f>
        <v/>
      </c>
    </row>
    <row r="95" spans="1:9" x14ac:dyDescent="0.25">
      <c r="A95" s="14"/>
      <c r="B95" s="15"/>
      <c r="C95" s="16"/>
      <c r="D95" s="16"/>
      <c r="E95" s="17"/>
      <c r="F95" s="18"/>
      <c r="G95" s="19" t="str" cm="1">
        <f t="array" ref="G95">IF(C95&lt;&gt;0,G94+(COS(RADIANS(IF(A95=1, hmstohdd(B95), IF(A95=2, 180-hmstohdd(B95), IF(A95=3, 180+hmstohdd(B95), IF(A95=4, 360-hmstohdd(B95), ""))))))*C95),"")</f>
        <v/>
      </c>
      <c r="H95" s="19" t="str" cm="1">
        <f t="array" ref="H95">IF(C95&lt;&gt;0,H94+(SIN(RADIANS(IF(A95=1, hmstohdd(B95), IF(A95=2, 180-hmstohdd(B95), IF(A95=3, 180+hmstohdd(B95), IF(A95=4, 360-hmstohdd(B95), ""))))))*C95),"")</f>
        <v/>
      </c>
      <c r="I95" s="10" t="str" cm="1">
        <f t="array" ref="I95">IF(D95&lt;&gt;0,IF(D95&lt;0,-(D95^2/2*(RADIANS(hmstohdd(F95))-SIN(RADIANS(hmstohdd(F95))))),D95^2/2*(RADIANS(hmstohdd(F95))-SIN(RADIANS(hmstohdd(F95))))),"")</f>
        <v/>
      </c>
    </row>
    <row r="96" spans="1:9" x14ac:dyDescent="0.25">
      <c r="A96" s="14"/>
      <c r="B96" s="15"/>
      <c r="C96" s="16"/>
      <c r="D96" s="16"/>
      <c r="E96" s="17"/>
      <c r="F96" s="18"/>
      <c r="G96" s="19" t="str" cm="1">
        <f t="array" ref="G96">IF(C96&lt;&gt;0,G95+(COS(RADIANS(IF(A96=1, hmstohdd(B96), IF(A96=2, 180-hmstohdd(B96), IF(A96=3, 180+hmstohdd(B96), IF(A96=4, 360-hmstohdd(B96), ""))))))*C96),"")</f>
        <v/>
      </c>
      <c r="H96" s="19" t="str" cm="1">
        <f t="array" ref="H96">IF(C96&lt;&gt;0,H95+(SIN(RADIANS(IF(A96=1, hmstohdd(B96), IF(A96=2, 180-hmstohdd(B96), IF(A96=3, 180+hmstohdd(B96), IF(A96=4, 360-hmstohdd(B96), ""))))))*C96),"")</f>
        <v/>
      </c>
      <c r="I96" s="10" t="str" cm="1">
        <f t="array" ref="I96">IF(D96&lt;&gt;0,IF(D96&lt;0,-(D96^2/2*(RADIANS(hmstohdd(F96))-SIN(RADIANS(hmstohdd(F96))))),D96^2/2*(RADIANS(hmstohdd(F96))-SIN(RADIANS(hmstohdd(F96))))),"")</f>
        <v/>
      </c>
    </row>
    <row r="97" spans="1:9" x14ac:dyDescent="0.25">
      <c r="A97" s="14"/>
      <c r="B97" s="15"/>
      <c r="C97" s="16"/>
      <c r="D97" s="16"/>
      <c r="E97" s="17"/>
      <c r="F97" s="18"/>
      <c r="G97" s="19" t="str" cm="1">
        <f t="array" ref="G97">IF(C97&lt;&gt;0,G96+(COS(RADIANS(IF(A97=1, hmstohdd(B97), IF(A97=2, 180-hmstohdd(B97), IF(A97=3, 180+hmstohdd(B97), IF(A97=4, 360-hmstohdd(B97), ""))))))*C97),"")</f>
        <v/>
      </c>
      <c r="H97" s="19" t="str" cm="1">
        <f t="array" ref="H97">IF(C97&lt;&gt;0,H96+(SIN(RADIANS(IF(A97=1, hmstohdd(B97), IF(A97=2, 180-hmstohdd(B97), IF(A97=3, 180+hmstohdd(B97), IF(A97=4, 360-hmstohdd(B97), ""))))))*C97),"")</f>
        <v/>
      </c>
      <c r="I97" s="10" t="str" cm="1">
        <f t="array" ref="I97">IF(D97&lt;&gt;0,IF(D97&lt;0,-(D97^2/2*(RADIANS(hmstohdd(F97))-SIN(RADIANS(hmstohdd(F97))))),D97^2/2*(RADIANS(hmstohdd(F97))-SIN(RADIANS(hmstohdd(F97))))),"")</f>
        <v/>
      </c>
    </row>
    <row r="98" spans="1:9" x14ac:dyDescent="0.25">
      <c r="A98" s="14"/>
      <c r="B98" s="15"/>
      <c r="C98" s="16"/>
      <c r="D98" s="16"/>
      <c r="E98" s="17"/>
      <c r="F98" s="18"/>
      <c r="G98" s="19" t="str" cm="1">
        <f t="array" ref="G98">IF(C98&lt;&gt;0,G97+(COS(RADIANS(IF(A98=1, hmstohdd(B98), IF(A98=2, 180-hmstohdd(B98), IF(A98=3, 180+hmstohdd(B98), IF(A98=4, 360-hmstohdd(B98), ""))))))*C98),"")</f>
        <v/>
      </c>
      <c r="H98" s="19" t="str" cm="1">
        <f t="array" ref="H98">IF(C98&lt;&gt;0,H97+(SIN(RADIANS(IF(A98=1, hmstohdd(B98), IF(A98=2, 180-hmstohdd(B98), IF(A98=3, 180+hmstohdd(B98), IF(A98=4, 360-hmstohdd(B98), ""))))))*C98),"")</f>
        <v/>
      </c>
      <c r="I98" s="10" t="str" cm="1">
        <f t="array" ref="I98">IF(D98&lt;&gt;0,IF(D98&lt;0,-(D98^2/2*(RADIANS(hmstohdd(F98))-SIN(RADIANS(hmstohdd(F98))))),D98^2/2*(RADIANS(hmstohdd(F98))-SIN(RADIANS(hmstohdd(F98))))),"")</f>
        <v/>
      </c>
    </row>
    <row r="99" spans="1:9" x14ac:dyDescent="0.25">
      <c r="A99" s="14"/>
      <c r="B99" s="15"/>
      <c r="C99" s="16"/>
      <c r="D99" s="16"/>
      <c r="E99" s="17"/>
      <c r="F99" s="18"/>
      <c r="G99" s="19" t="str" cm="1">
        <f t="array" ref="G99">IF(C99&lt;&gt;0,G98+(COS(RADIANS(IF(A99=1, hmstohdd(B99), IF(A99=2, 180-hmstohdd(B99), IF(A99=3, 180+hmstohdd(B99), IF(A99=4, 360-hmstohdd(B99), ""))))))*C99),"")</f>
        <v/>
      </c>
      <c r="H99" s="19" t="str" cm="1">
        <f t="array" ref="H99">IF(C99&lt;&gt;0,H98+(SIN(RADIANS(IF(A99=1, hmstohdd(B99), IF(A99=2, 180-hmstohdd(B99), IF(A99=3, 180+hmstohdd(B99), IF(A99=4, 360-hmstohdd(B99), ""))))))*C99),"")</f>
        <v/>
      </c>
      <c r="I99" s="10" t="str" cm="1">
        <f t="array" ref="I99">IF(D99&lt;&gt;0,IF(D99&lt;0,-(D99^2/2*(RADIANS(hmstohdd(F99))-SIN(RADIANS(hmstohdd(F99))))),D99^2/2*(RADIANS(hmstohdd(F99))-SIN(RADIANS(hmstohdd(F99))))),"")</f>
        <v/>
      </c>
    </row>
    <row r="100" spans="1:9" x14ac:dyDescent="0.25">
      <c r="A100" s="14"/>
      <c r="B100" s="15"/>
      <c r="C100" s="16"/>
      <c r="D100" s="16"/>
      <c r="E100" s="17"/>
      <c r="F100" s="18"/>
      <c r="G100" s="19" t="str" cm="1">
        <f t="array" ref="G100">IF(C100&lt;&gt;0,G99+(COS(RADIANS(IF(A100=1, hmstohdd(B100), IF(A100=2, 180-hmstohdd(B100), IF(A100=3, 180+hmstohdd(B100), IF(A100=4, 360-hmstohdd(B100), ""))))))*C100),"")</f>
        <v/>
      </c>
      <c r="H100" s="19" t="str" cm="1">
        <f t="array" ref="H100">IF(C100&lt;&gt;0,H99+(SIN(RADIANS(IF(A100=1, hmstohdd(B100), IF(A100=2, 180-hmstohdd(B100), IF(A100=3, 180+hmstohdd(B100), IF(A100=4, 360-hmstohdd(B100), ""))))))*C100),"")</f>
        <v/>
      </c>
      <c r="I100" s="10" t="str" cm="1">
        <f t="array" ref="I100">IF(D100&lt;&gt;0,IF(D100&lt;0,-(D100^2/2*(RADIANS(hmstohdd(F100))-SIN(RADIANS(hmstohdd(F100))))),D100^2/2*(RADIANS(hmstohdd(F100))-SIN(RADIANS(hmstohdd(F100))))),"")</f>
        <v/>
      </c>
    </row>
    <row r="101" spans="1:9" x14ac:dyDescent="0.25">
      <c r="E101" s="8" t="str" cm="1">
        <f t="array" ref="E101">IF(D101&lt;&gt;0,(100*(hmstohdd(F101))/(36000/(2*PI()*ABS(D101)))),"")</f>
        <v/>
      </c>
      <c r="F101" s="9" t="str" cm="1">
        <f t="array" ref="F101">IF(D101&lt;&gt;0,hddtohms(2*DEGREES(ASIN(C101/(2*ABS(D101))))),"")</f>
        <v/>
      </c>
    </row>
  </sheetData>
  <sheetProtection sheet="1" objects="1" scenarios="1"/>
  <mergeCells count="4">
    <mergeCell ref="F1:G1"/>
    <mergeCell ref="B1:C1"/>
    <mergeCell ref="K3:M3"/>
    <mergeCell ref="A2:C2"/>
  </mergeCells>
  <dataValidations count="3">
    <dataValidation type="whole" allowBlank="1" showInputMessage="1" showErrorMessage="1" errorTitle="DO NOT ENTER IN THIS BOX" sqref="A4:F4" xr:uid="{83C0DE51-434B-4386-BA05-A0D03A80DE52}">
      <formula1>0</formula1>
      <formula2>0</formula2>
    </dataValidation>
    <dataValidation type="whole" allowBlank="1" showInputMessage="1" showErrorMessage="1" errorTitle="INVALID QUADRANT" error="Enter a quadrant between 1 and 4" sqref="A5:A100" xr:uid="{C247FD39-ED24-4C0D-A48B-9CE8887AA00C}">
      <formula1>1</formula1>
      <formula2>4</formula2>
    </dataValidation>
    <dataValidation type="custom" allowBlank="1" showInputMessage="1" showErrorMessage="1" errorTitle="INVALID BEARING" error="Invalid data format - Format must be dd.mmss" sqref="B5:B100" xr:uid="{E19543CE-672A-4A92-B08A-5462E3EAD399}">
      <formula1>AND(B5&gt;=0, B5&lt;=90, INT(MOD(B5*100,100))&lt;=59, INT(MOD(B5*10000,100))&lt;=59)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GenerateReportButton">
          <controlPr defaultSize="0" autoLine="0" r:id="rId5">
            <anchor moveWithCells="1">
              <from>
                <xdr:col>11</xdr:col>
                <xdr:colOff>381000</xdr:colOff>
                <xdr:row>10</xdr:row>
                <xdr:rowOff>142875</xdr:rowOff>
              </from>
              <to>
                <xdr:col>13</xdr:col>
                <xdr:colOff>133350</xdr:colOff>
                <xdr:row>12</xdr:row>
                <xdr:rowOff>114300</xdr:rowOff>
              </to>
            </anchor>
          </controlPr>
        </control>
      </mc:Choice>
      <mc:Fallback>
        <control shapeId="1037" r:id="rId4" name="GenerateReportButton"/>
      </mc:Fallback>
    </mc:AlternateContent>
    <mc:AlternateContent xmlns:mc="http://schemas.openxmlformats.org/markup-compatibility/2006">
      <mc:Choice Requires="x14">
        <control shapeId="1036" r:id="rId6" name="NewTraverseButton1">
          <controlPr defaultSize="0" autoLine="0" r:id="rId7">
            <anchor moveWithCells="1">
              <from>
                <xdr:col>10</xdr:col>
                <xdr:colOff>828675</xdr:colOff>
                <xdr:row>7</xdr:row>
                <xdr:rowOff>104775</xdr:rowOff>
              </from>
              <to>
                <xdr:col>11</xdr:col>
                <xdr:colOff>933450</xdr:colOff>
                <xdr:row>9</xdr:row>
                <xdr:rowOff>114300</xdr:rowOff>
              </to>
            </anchor>
          </controlPr>
        </control>
      </mc:Choice>
      <mc:Fallback>
        <control shapeId="1036" r:id="rId6" name="NewTraverseButton1"/>
      </mc:Fallback>
    </mc:AlternateContent>
    <mc:AlternateContent xmlns:mc="http://schemas.openxmlformats.org/markup-compatibility/2006">
      <mc:Choice Requires="x14">
        <control shapeId="1035" r:id="rId8" name="CommandButton1">
          <controlPr defaultSize="0" autoLine="0" r:id="rId9">
            <anchor moveWithCells="1">
              <from>
                <xdr:col>10</xdr:col>
                <xdr:colOff>0</xdr:colOff>
                <xdr:row>10</xdr:row>
                <xdr:rowOff>152400</xdr:rowOff>
              </from>
              <to>
                <xdr:col>11</xdr:col>
                <xdr:colOff>142875</xdr:colOff>
                <xdr:row>12</xdr:row>
                <xdr:rowOff>133350</xdr:rowOff>
              </to>
            </anchor>
          </controlPr>
        </control>
      </mc:Choice>
      <mc:Fallback>
        <control shapeId="103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BGB</dc:creator>
  <cp:lastModifiedBy>Jeff Hsu</cp:lastModifiedBy>
  <dcterms:created xsi:type="dcterms:W3CDTF">2025-12-04T21:08:44Z</dcterms:created>
  <dcterms:modified xsi:type="dcterms:W3CDTF">2026-06-29T22:22:06Z</dcterms:modified>
</cp:coreProperties>
</file>